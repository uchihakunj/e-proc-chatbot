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4ac60bf4674f80" /></Relationships>
</file>

<file path=xl/workbook.xml><?xml version="1.0" encoding="utf-8"?>
<x:workbook xmlns:x="http://schemas.openxmlformats.org/spreadsheetml/2006/main">
  <x:sheets>
    <x:sheet xmlns:r="http://schemas.openxmlformats.org/officeDocument/2006/relationships" name="Overview" sheetId="1" r:id="Rb7ffcf78f8c54648"/>
    <x:sheet xmlns:r="http://schemas.openxmlformats.org/officeDocument/2006/relationships" name="Review Queue" sheetId="2" r:id="R3f68e87dc3004bf6"/>
    <x:sheet xmlns:r="http://schemas.openxmlformats.org/officeDocument/2006/relationships" name="Calibration Summary" sheetId="3" r:id="R22020b77468b4a5b"/>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
    <x:numFmt numFmtId="201" formatCode="0.0000"/>
    <x:numFmt numFmtId="202" formatCode="0"/>
    <x:numFmt numFmtId="203" formatCode="0.000"/>
    <x:numFmt numFmtId="204" formatCode="0.0"/>
  </x:numFmts>
  <x:fonts count="8">
    <x:font>
      <x:sz val="11"/>
      <x:name val="Carlito"/>
    </x:font>
    <x:font>
      <x:b/>
      <x:sz val="16"/>
      <x:color rgb="FFFFFFFF"/>
      <x:name val="Carlito"/>
    </x:font>
    <x:font>
      <x:b/>
      <x:sz val="11"/>
      <x:color rgb="FFFFFFFF"/>
      <x:name val="Carlito"/>
    </x:font>
    <x:font>
      <x:b/>
      <x:sz val="11"/>
      <x:name val="Carlito"/>
    </x:font>
    <x:font>
      <x:b/>
      <x:sz val="10"/>
      <x:color rgb="FFFFFFFF"/>
      <x:name val="Aptos"/>
    </x:font>
    <x:font>
      <x:sz val="10"/>
      <x:name val="Aptos"/>
    </x:font>
    <x:font>
      <x:b/>
      <x:sz val="10"/>
      <x:name val="Aptos"/>
    </x:font>
    <x:font>
      <x:b/>
      <x:sz val="16"/>
      <x:color rgb="FFFFFFFF"/>
      <x:name val="Aptos Display"/>
    </x:font>
  </x:fonts>
  <x:fills count="8">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0F766E"/>
      </x:patternFill>
    </x:fill>
    <x:fill>
      <x:patternFill patternType="solid">
        <x:fgColor rgb="FFF3F4F6"/>
      </x:patternFill>
    </x:fill>
    <x:fill>
      <x:patternFill patternType="solid">
        <x:fgColor rgb="FFFFF4CC"/>
      </x:patternFill>
    </x:fill>
    <x:fill>
      <x:patternFill patternType="solid">
        <x:fgColor rgb="FFE8F5F1"/>
      </x:patternFill>
    </x:fill>
  </x:fills>
  <x:borders count="13">
    <x:border/>
    <x:border>
      <x:left style="thin">
        <x:color rgb="FFD1D5DB"/>
      </x:left>
      <x:right style="thin">
        <x:color rgb="FFD1D5DB"/>
      </x:right>
      <x:top style="thin">
        <x:color rgb="FFD1D5DB"/>
      </x:top>
      <x:bottom style="thin">
        <x:color rgb="FFD1D5DB"/>
      </x:bottom>
    </x:border>
    <x:border>
      <x:bottom style="thin">
        <x:color rgb="FFD1D5DB"/>
      </x:bottom>
    </x:border>
    <x:border>
      <x:top style="thin">
        <x:color rgb="FFD1D5DB"/>
      </x:top>
      <x:bottom style="thin">
        <x:color rgb="FFD1D5DB"/>
      </x:bottom>
    </x:border>
    <x:border>
      <x:top style="thin">
        <x:color rgb="FFD1D5DB"/>
      </x:top>
    </x:border>
    <x:border>
      <x:right style="thin">
        <x:color rgb="FFD1D5DB"/>
      </x:right>
      <x:bottom style="thin">
        <x:color rgb="FFD1D5DB"/>
      </x:bottom>
    </x:border>
    <x:border>
      <x:left style="thin">
        <x:color rgb="FFD1D5DB"/>
      </x:left>
      <x:right style="thin">
        <x:color rgb="FFD1D5DB"/>
      </x:right>
      <x:bottom style="thin">
        <x:color rgb="FFD1D5DB"/>
      </x:bottom>
    </x:border>
    <x:border>
      <x:left style="thin">
        <x:color rgb="FFD1D5DB"/>
      </x:left>
      <x:bottom style="thin">
        <x:color rgb="FFD1D5DB"/>
      </x:bottom>
    </x:border>
    <x:border>
      <x:right style="thin">
        <x:color rgb="FFD1D5DB"/>
      </x:right>
      <x:top style="thin">
        <x:color rgb="FFD1D5DB"/>
      </x:top>
      <x:bottom style="thin">
        <x:color rgb="FFD1D5DB"/>
      </x:bottom>
    </x:border>
    <x:border>
      <x:left style="thin">
        <x:color rgb="FFD1D5DB"/>
      </x:left>
      <x:top style="thin">
        <x:color rgb="FFD1D5DB"/>
      </x:top>
      <x:bottom style="thin">
        <x:color rgb="FFD1D5DB"/>
      </x:bottom>
    </x:border>
    <x:border>
      <x:right style="thin">
        <x:color rgb="FFD1D5DB"/>
      </x:right>
      <x:top style="thin">
        <x:color rgb="FFD1D5DB"/>
      </x:top>
    </x:border>
    <x:border>
      <x:left style="thin">
        <x:color rgb="FFD1D5DB"/>
      </x:left>
      <x:right style="thin">
        <x:color rgb="FFD1D5DB"/>
      </x:right>
      <x:top style="thin">
        <x:color rgb="FFD1D5DB"/>
      </x:top>
    </x:border>
    <x:border>
      <x:left style="thin">
        <x:color rgb="FFD1D5DB"/>
      </x:left>
      <x:top style="thin">
        <x:color rgb="FFD1D5DB"/>
      </x:top>
    </x:border>
  </x:borders>
  <x:cellStyleXfs count="1">
    <x:xf numFmtId="0" fontId="0" fillId="0" borderId="0"/>
  </x:cellStyleXfs>
  <x:cellXfs count="17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0" fillId="3" borderId="0" xfId="0" applyNumberFormat="1" applyFont="1" applyFill="1" applyBorder="1" applyAlignment="1">
      <x:alignment wrapText="1"/>
    </x:xf>
    <x:xf numFmtId="0" fontId="0" fillId="3" borderId="0" xfId="0" applyNumberFormat="1" applyFont="1" applyFill="1" applyBorder="1" applyAlignment="1">
      <x:alignment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vertical="center"/>
    </x:xf>
    <x:xf numFmtId="0" fontId="2" fillId="2" borderId="0"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0" fillId="5" borderId="0" xfId="0" applyNumberFormat="1" applyFont="1" applyFill="1" applyBorder="1"/>
    <x:xf numFmtId="0" fontId="3" fillId="5" borderId="0" xfId="0" applyNumberFormat="1" applyFont="1" applyFill="1" applyBorder="1"/>
    <x:xf numFmtId="0" fontId="3" fillId="5" borderId="2" xfId="0" applyNumberFormat="1" applyFont="1" applyFill="1" applyBorder="1"/>
    <x:xf numFmtId="0" fontId="3" fillId="5" borderId="3" xfId="0" applyNumberFormat="1" applyFont="1" applyFill="1" applyBorder="1"/>
    <x:xf numFmtId="0" fontId="3" fillId="5" borderId="4"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2" xfId="0" applyNumberFormat="1" applyFont="1" applyFill="1" applyBorder="1" applyAlignment="1">
      <x:alignment horizontal="right"/>
    </x:xf>
    <x:xf numFmtId="0" fontId="0" fillId="0" borderId="3" xfId="0" applyNumberFormat="1" applyFont="1" applyFill="1" applyBorder="1" applyAlignment="1">
      <x:alignment horizontal="right"/>
    </x:xf>
    <x:xf numFmtId="0" fontId="0" fillId="0" borderId="4" xfId="0" applyNumberFormat="1" applyFont="1" applyFill="1" applyBorder="1" applyAlignment="1">
      <x:alignment horizontal="right"/>
    </x:xf>
    <x:xf numFmtId="200" fontId="0" fillId="0" borderId="2" xfId="0" applyNumberFormat="1" applyFont="1" applyFill="1" applyBorder="1" applyAlignment="1">
      <x:alignment horizontal="right"/>
    </x:xf>
    <x:xf numFmtId="200" fontId="0" fillId="0" borderId="3" xfId="0" applyNumberFormat="1" applyFont="1" applyFill="1" applyBorder="1" applyAlignment="1">
      <x:alignment horizontal="right"/>
    </x:xf>
    <x:xf numFmtId="201" fontId="0" fillId="0" borderId="3" xfId="0" applyNumberFormat="1" applyFont="1" applyFill="1" applyBorder="1" applyAlignment="1">
      <x:alignment horizontal="right"/>
    </x:xf>
    <x:xf numFmtId="202" fontId="0" fillId="0" borderId="3" xfId="0" applyNumberFormat="1" applyFont="1" applyFill="1" applyBorder="1" applyAlignment="1">
      <x:alignment horizontal="right"/>
    </x:xf>
    <x:xf numFmtId="203" fontId="0" fillId="0" borderId="4" xfId="0" applyNumberFormat="1" applyFont="1" applyFill="1" applyBorder="1" applyAlignment="1">
      <x:alignment horizontal="right"/>
    </x:xf>
    <x:xf numFmtId="0" fontId="0" fillId="6" borderId="0" xfId="0" applyNumberFormat="1" applyFont="1" applyFill="1" applyBorder="1"/>
    <x:xf numFmtId="0" fontId="0" fillId="6" borderId="1" xfId="0" applyNumberFormat="1" applyFont="1" applyFill="1" applyBorder="1"/>
    <x:xf numFmtId="0" fontId="0" fillId="6" borderId="1" xfId="0" applyNumberFormat="1" applyFont="1" applyFill="1" applyBorder="1" applyAlignment="1">
      <x:alignment wrapText="1"/>
    </x:xf>
    <x:xf numFmtId="0" fontId="0" fillId="6" borderId="1" xfId="0" applyNumberFormat="1" applyFont="1" applyFill="1" applyBorder="1" applyAlignment="1">
      <x:alignment vertical="top" wrapText="1"/>
    </x:xf>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1"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12" xfId="0" applyNumberFormat="1" applyFont="1" applyFill="1" applyBorder="1"/>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4" fillId="2" borderId="0" xfId="0" applyNumberFormat="1" applyFont="1" applyFill="1" applyBorder="1" applyAlignment="1">
      <x:alignment horizontal="left" vertical="center"/>
    </x:xf>
    <x:xf numFmtId="0" fontId="5" fillId="0" borderId="0" xfId="0" applyNumberFormat="1" applyFont="1" applyFill="1" applyBorder="1"/>
    <x:xf numFmtId="0" fontId="5" fillId="3" borderId="0" xfId="0" applyNumberFormat="1" applyFont="1" applyFill="1" applyBorder="1" applyAlignment="1">
      <x:alignment vertical="center" wrapText="1"/>
    </x:xf>
    <x:xf numFmtId="0" fontId="4" fillId="4" borderId="0" xfId="0" applyNumberFormat="1" applyFont="1" applyFill="1" applyBorder="1" applyAlignment="1">
      <x:alignment vertical="center"/>
    </x:xf>
    <x:xf numFmtId="0" fontId="4" fillId="2" borderId="1" xfId="0" applyNumberFormat="1" applyFont="1" applyFill="1" applyBorder="1" applyAlignment="1">
      <x:alignment horizontal="center" vertical="center" wrapText="1"/>
    </x:xf>
    <x:xf numFmtId="0" fontId="5" fillId="6" borderId="1" xfId="0" applyNumberFormat="1" applyFont="1" applyFill="1" applyBorder="1" applyAlignment="1">
      <x:alignment vertical="top" wrapText="1"/>
    </x:xf>
    <x:xf numFmtId="0" fontId="6" fillId="5" borderId="2" xfId="0" applyNumberFormat="1" applyFont="1" applyFill="1" applyBorder="1"/>
    <x:xf numFmtId="200" fontId="5" fillId="0" borderId="2" xfId="0" applyNumberFormat="1" applyFont="1" applyFill="1" applyBorder="1" applyAlignment="1">
      <x:alignment horizontal="right"/>
    </x:xf>
    <x:xf numFmtId="0" fontId="6" fillId="5" borderId="3" xfId="0" applyNumberFormat="1" applyFont="1" applyFill="1" applyBorder="1"/>
    <x:xf numFmtId="200" fontId="5" fillId="0" borderId="3" xfId="0" applyNumberFormat="1" applyFont="1" applyFill="1" applyBorder="1" applyAlignment="1">
      <x:alignment horizontal="right"/>
    </x:xf>
    <x:xf numFmtId="201" fontId="5" fillId="0" borderId="3" xfId="0" applyNumberFormat="1" applyFont="1" applyFill="1" applyBorder="1" applyAlignment="1">
      <x:alignment horizontal="right"/>
    </x:xf>
    <x:xf numFmtId="202" fontId="5" fillId="0" borderId="3" xfId="0" applyNumberFormat="1" applyFont="1" applyFill="1" applyBorder="1" applyAlignment="1">
      <x:alignment horizontal="right"/>
    </x:xf>
    <x:xf numFmtId="0" fontId="6" fillId="5" borderId="4" xfId="0" applyNumberFormat="1" applyFont="1" applyFill="1" applyBorder="1"/>
    <x:xf numFmtId="203" fontId="5" fillId="0" borderId="4" xfId="0" applyNumberFormat="1" applyFont="1" applyFill="1" applyBorder="1" applyAlignment="1">
      <x:alignment horizontal="right"/>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1"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0" fontId="5" fillId="0" borderId="12" xfId="0" applyNumberFormat="1" applyFont="1" applyFill="1" applyBorder="1" applyAlignment="1">
      <x:alignment vertical="top" wrapText="1"/>
    </x:xf>
    <x:xf numFmtId="0" fontId="7" fillId="2" borderId="0" xfId="0" applyNumberFormat="1" applyFont="1" applyFill="1" applyBorder="1" applyAlignment="1">
      <x:alignment horizontal="left" vertical="center"/>
    </x:xf>
    <x:xf numFmtId="0" fontId="0" fillId="6" borderId="5" xfId="0" applyNumberFormat="1" applyFont="1" applyFill="1" applyBorder="1"/>
    <x:xf numFmtId="0" fontId="0" fillId="6" borderId="6" xfId="0" applyNumberFormat="1" applyFont="1" applyFill="1" applyBorder="1"/>
    <x:xf numFmtId="0" fontId="0" fillId="6" borderId="7" xfId="0" applyNumberFormat="1" applyFont="1" applyFill="1" applyBorder="1"/>
    <x:xf numFmtId="0" fontId="0" fillId="6" borderId="8" xfId="0" applyNumberFormat="1" applyFont="1" applyFill="1" applyBorder="1"/>
    <x:xf numFmtId="0" fontId="0" fillId="6" borderId="9" xfId="0" applyNumberFormat="1" applyFont="1" applyFill="1" applyBorder="1"/>
    <x:xf numFmtId="0" fontId="0" fillId="6" borderId="10" xfId="0" applyNumberFormat="1" applyFont="1" applyFill="1" applyBorder="1"/>
    <x:xf numFmtId="0" fontId="0" fillId="6" borderId="11" xfId="0" applyNumberFormat="1" applyFont="1" applyFill="1" applyBorder="1"/>
    <x:xf numFmtId="0" fontId="0" fillId="6" borderId="12" xfId="0" applyNumberFormat="1" applyFont="1" applyFill="1" applyBorder="1"/>
    <x:xf numFmtId="0" fontId="0" fillId="6" borderId="5"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12" xfId="0" applyNumberFormat="1" applyFont="1" applyFill="1" applyBorder="1" applyAlignment="1">
      <x:alignment wrapText="1"/>
    </x:xf>
    <x:xf numFmtId="0" fontId="0" fillId="6" borderId="5"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12" xfId="0" applyNumberFormat="1" applyFont="1" applyFill="1" applyBorder="1" applyAlignment="1">
      <x:alignment vertical="top" wrapText="1"/>
    </x:xf>
    <x:xf numFmtId="0" fontId="0" fillId="7" borderId="0" xfId="0" applyNumberFormat="1" applyFont="1" applyFill="1" applyBorder="1"/>
    <x:xf numFmtId="0" fontId="0" fillId="7" borderId="5" xfId="0" applyNumberFormat="1" applyFont="1" applyFill="1" applyBorder="1"/>
    <x:xf numFmtId="0" fontId="0" fillId="7" borderId="7" xfId="0" applyNumberFormat="1" applyFont="1" applyFill="1" applyBorder="1"/>
    <x:xf numFmtId="0" fontId="0" fillId="7" borderId="8" xfId="0" applyNumberFormat="1" applyFont="1" applyFill="1" applyBorder="1"/>
    <x:xf numFmtId="0" fontId="0" fillId="7" borderId="9" xfId="0" applyNumberFormat="1" applyFont="1" applyFill="1" applyBorder="1"/>
    <x:xf numFmtId="0" fontId="0" fillId="7" borderId="10" xfId="0" applyNumberFormat="1" applyFont="1" applyFill="1" applyBorder="1"/>
    <x:xf numFmtId="0" fontId="0" fillId="7" borderId="12" xfId="0" applyNumberFormat="1" applyFont="1" applyFill="1" applyBorder="1"/>
    <x:xf numFmtId="0" fontId="0" fillId="7" borderId="5" xfId="0" applyNumberFormat="1" applyFont="1" applyFill="1" applyBorder="1" applyAlignment="1">
      <x:alignment wrapText="1"/>
    </x:xf>
    <x:xf numFmtId="0" fontId="0" fillId="7" borderId="7" xfId="0" applyNumberFormat="1" applyFont="1" applyFill="1" applyBorder="1" applyAlignment="1">
      <x:alignment wrapText="1"/>
    </x:xf>
    <x:xf numFmtId="0" fontId="0" fillId="7" borderId="8" xfId="0" applyNumberFormat="1" applyFont="1" applyFill="1" applyBorder="1" applyAlignment="1">
      <x:alignment wrapText="1"/>
    </x:xf>
    <x:xf numFmtId="0" fontId="0" fillId="7" borderId="9" xfId="0" applyNumberFormat="1" applyFont="1" applyFill="1" applyBorder="1" applyAlignment="1">
      <x:alignment wrapText="1"/>
    </x:xf>
    <x:xf numFmtId="0" fontId="0" fillId="7" borderId="10" xfId="0" applyNumberFormat="1" applyFont="1" applyFill="1" applyBorder="1" applyAlignment="1">
      <x:alignment wrapText="1"/>
    </x:xf>
    <x:xf numFmtId="0" fontId="0" fillId="7" borderId="12" xfId="0" applyNumberFormat="1" applyFont="1" applyFill="1" applyBorder="1" applyAlignment="1">
      <x:alignment wrapText="1"/>
    </x:xf>
    <x:xf numFmtId="0" fontId="0" fillId="7" borderId="5" xfId="0" applyNumberFormat="1" applyFont="1" applyFill="1" applyBorder="1" applyAlignment="1">
      <x:alignment vertical="top" wrapText="1"/>
    </x:xf>
    <x:xf numFmtId="0" fontId="0" fillId="7" borderId="7" xfId="0" applyNumberFormat="1" applyFont="1" applyFill="1" applyBorder="1" applyAlignment="1">
      <x:alignment vertical="top" wrapText="1"/>
    </x:xf>
    <x:xf numFmtId="0" fontId="0" fillId="7" borderId="8" xfId="0" applyNumberFormat="1" applyFont="1" applyFill="1" applyBorder="1" applyAlignment="1">
      <x:alignment vertical="top" wrapText="1"/>
    </x:xf>
    <x:xf numFmtId="0" fontId="0" fillId="7" borderId="9" xfId="0" applyNumberFormat="1" applyFont="1" applyFill="1" applyBorder="1" applyAlignment="1">
      <x:alignment vertical="top" wrapText="1"/>
    </x:xf>
    <x:xf numFmtId="0" fontId="0" fillId="7" borderId="10" xfId="0" applyNumberFormat="1" applyFont="1" applyFill="1" applyBorder="1" applyAlignment="1">
      <x:alignment vertical="top" wrapText="1"/>
    </x:xf>
    <x:xf numFmtId="0" fontId="0" fillId="7" borderId="12" xfId="0" applyNumberFormat="1" applyFont="1" applyFill="1" applyBorder="1" applyAlignment="1">
      <x:alignment vertical="top" wrapText="1"/>
    </x:xf>
    <x:xf numFmtId="0" fontId="0" fillId="6" borderId="2" xfId="0" applyNumberFormat="1" applyFont="1" applyFill="1" applyBorder="1"/>
    <x:xf numFmtId="0" fontId="0" fillId="6" borderId="3" xfId="0" applyNumberFormat="1" applyFont="1" applyFill="1" applyBorder="1"/>
    <x:xf numFmtId="0" fontId="0" fillId="6" borderId="4" xfId="0" applyNumberFormat="1" applyFont="1" applyFill="1" applyBorder="1"/>
    <x:xf numFmtId="0" fontId="0" fillId="6" borderId="2" xfId="0" applyNumberFormat="1" applyFont="1" applyFill="1" applyBorder="1" applyAlignment="1">
      <x:alignment wrapText="1"/>
    </x:xf>
    <x:xf numFmtId="0" fontId="0" fillId="6" borderId="3" xfId="0" applyNumberFormat="1" applyFont="1" applyFill="1" applyBorder="1" applyAlignment="1">
      <x:alignment wrapText="1"/>
    </x:xf>
    <x:xf numFmtId="0" fontId="0" fillId="6" borderId="4" xfId="0" applyNumberFormat="1" applyFont="1" applyFill="1" applyBorder="1" applyAlignment="1">
      <x:alignment wrapText="1"/>
    </x:xf>
    <x:xf numFmtId="0" fontId="0" fillId="6" borderId="2" xfId="0" applyNumberFormat="1" applyFont="1" applyFill="1" applyBorder="1" applyAlignment="1">
      <x:alignment vertical="top" wrapText="1"/>
    </x:xf>
    <x:xf numFmtId="0" fontId="0" fillId="6" borderId="3" xfId="0" applyNumberFormat="1" applyFont="1" applyFill="1" applyBorder="1" applyAlignment="1">
      <x:alignment vertical="top" wrapText="1"/>
    </x:xf>
    <x:xf numFmtId="0" fontId="0" fillId="6" borderId="4" xfId="0" applyNumberFormat="1" applyFont="1" applyFill="1" applyBorder="1" applyAlignment="1">
      <x:alignment vertical="top" wrapText="1"/>
    </x:xf>
    <x:xf numFmtId="204" fontId="0" fillId="0" borderId="6" xfId="0" applyNumberFormat="1" applyFont="1" applyFill="1" applyBorder="1" applyAlignment="1">
      <x:alignment vertical="top" wrapText="1"/>
    </x:xf>
    <x:xf numFmtId="204" fontId="0" fillId="0" borderId="7" xfId="0" applyNumberFormat="1" applyFont="1" applyFill="1" applyBorder="1" applyAlignment="1">
      <x:alignment vertical="top" wrapText="1"/>
    </x:xf>
    <x:xf numFmtId="204" fontId="0" fillId="0" borderId="1" xfId="0" applyNumberFormat="1" applyFont="1" applyFill="1" applyBorder="1" applyAlignment="1">
      <x:alignment vertical="top" wrapText="1"/>
    </x:xf>
    <x:xf numFmtId="204" fontId="0" fillId="0" borderId="9" xfId="0" applyNumberFormat="1" applyFont="1" applyFill="1" applyBorder="1" applyAlignment="1">
      <x:alignment vertical="top" wrapText="1"/>
    </x:xf>
    <x:xf numFmtId="204" fontId="0" fillId="0" borderId="11" xfId="0" applyNumberFormat="1" applyFont="1" applyFill="1" applyBorder="1" applyAlignment="1">
      <x:alignment vertical="top" wrapText="1"/>
    </x:xf>
    <x:xf numFmtId="204" fontId="0" fillId="0" borderId="12" xfId="0" applyNumberFormat="1" applyFont="1" applyFill="1" applyBorder="1" applyAlignment="1">
      <x:alignment vertical="top" wrapText="1"/>
    </x:xf>
    <x:xf numFmtId="204" fontId="0" fillId="6" borderId="5" xfId="0" applyNumberFormat="1" applyFont="1" applyFill="1" applyBorder="1" applyAlignment="1">
      <x:alignment vertical="top" wrapText="1"/>
    </x:xf>
    <x:xf numFmtId="204" fontId="0" fillId="6" borderId="6" xfId="0" applyNumberFormat="1" applyFont="1" applyFill="1" applyBorder="1" applyAlignment="1">
      <x:alignment vertical="top" wrapText="1"/>
    </x:xf>
    <x:xf numFmtId="204" fontId="0" fillId="6" borderId="8" xfId="0" applyNumberFormat="1" applyFont="1" applyFill="1" applyBorder="1" applyAlignment="1">
      <x:alignment vertical="top" wrapText="1"/>
    </x:xf>
    <x:xf numFmtId="204" fontId="0" fillId="6" borderId="1" xfId="0" applyNumberFormat="1" applyFont="1" applyFill="1" applyBorder="1" applyAlignment="1">
      <x:alignment vertical="top" wrapText="1"/>
    </x:xf>
    <x:xf numFmtId="204" fontId="0" fillId="6" borderId="10" xfId="0" applyNumberFormat="1" applyFont="1" applyFill="1" applyBorder="1" applyAlignment="1">
      <x:alignment vertical="top" wrapText="1"/>
    </x:xf>
    <x:xf numFmtId="204" fontId="0" fillId="6" borderId="11" xfId="0" applyNumberFormat="1" applyFont="1" applyFill="1" applyBorder="1" applyAlignment="1">
      <x:alignment vertical="top" wrapText="1"/>
    </x:xf>
    <x:xf numFmtId="204" fontId="0" fillId="7" borderId="5" xfId="0" applyNumberFormat="1" applyFont="1" applyFill="1" applyBorder="1" applyAlignment="1">
      <x:alignment vertical="top" wrapText="1"/>
    </x:xf>
    <x:xf numFmtId="204" fontId="0" fillId="7" borderId="8" xfId="0" applyNumberFormat="1" applyFont="1" applyFill="1" applyBorder="1" applyAlignment="1">
      <x:alignment vertical="top" wrapText="1"/>
    </x:xf>
    <x:xf numFmtId="204" fontId="0" fillId="7" borderId="10" xfId="0" applyNumberFormat="1" applyFont="1" applyFill="1" applyBorder="1" applyAlignment="1">
      <x:alignment vertical="top" wrapText="1"/>
    </x:xf>
    <x:xf numFmtId="0" fontId="0" fillId="7" borderId="2" xfId="0" applyNumberFormat="1" applyFont="1" applyFill="1" applyBorder="1"/>
    <x:xf numFmtId="0" fontId="0" fillId="7" borderId="3" xfId="0" applyNumberFormat="1" applyFont="1" applyFill="1" applyBorder="1"/>
    <x:xf numFmtId="0" fontId="0" fillId="7" borderId="4" xfId="0" applyNumberFormat="1" applyFont="1" applyFill="1" applyBorder="1"/>
    <x:xf numFmtId="0" fontId="0" fillId="7" borderId="2" xfId="0" applyNumberFormat="1" applyFont="1" applyFill="1" applyBorder="1" applyAlignment="1">
      <x:alignment horizontal="right"/>
    </x:xf>
    <x:xf numFmtId="0" fontId="0" fillId="7" borderId="3" xfId="0" applyNumberFormat="1" applyFont="1" applyFill="1" applyBorder="1" applyAlignment="1">
      <x:alignment horizontal="right"/>
    </x:xf>
    <x:xf numFmtId="0" fontId="0" fillId="7" borderId="4" xfId="0" applyNumberFormat="1" applyFont="1" applyFill="1" applyBorder="1" applyAlignment="1">
      <x:alignment horizontal="right"/>
    </x:xf>
    <x:xf numFmtId="200" fontId="0" fillId="7" borderId="3" xfId="0" applyNumberFormat="1" applyFont="1" applyFill="1" applyBorder="1" applyAlignment="1">
      <x:alignment horizontal="right"/>
    </x:xf>
    <x:xf numFmtId="200" fontId="0" fillId="0" borderId="1" xfId="0" applyNumberFormat="1" applyFont="1" applyFill="1" applyBorder="1" applyAlignment="1">
      <x:alignment wrapText="1"/>
    </x:xf>
    <x:xf numFmtId="0" fontId="0" fillId="6" borderId="1" xfId="0" applyNumberFormat="1" applyFont="1" applyFill="1" applyBorder="1" applyAlignment="1">
      <x:alignment vertical="center" wrapText="1"/>
    </x:xf>
    <x:xf numFmtId="0" fontId="5" fillId="3" borderId="0" xfId="0" applyNumberFormat="1" applyFont="1" applyFill="1" applyBorder="1" applyAlignment="1">
      <x:alignment wrapText="1"/>
    </x:xf>
    <x:xf numFmtId="0" fontId="5" fillId="7" borderId="2" xfId="0" applyNumberFormat="1" applyFont="1" applyFill="1" applyBorder="1" applyAlignment="1">
      <x:alignment horizontal="right"/>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7" borderId="3" xfId="0" applyNumberFormat="1" applyFont="1" applyFill="1" applyBorder="1" applyAlignment="1">
      <x:alignment horizontal="right"/>
    </x:xf>
    <x:xf numFmtId="0" fontId="5" fillId="0" borderId="8" xfId="0" applyNumberFormat="1" applyFont="1" applyFill="1" applyBorder="1" applyAlignment="1">
      <x:alignment wrapText="1"/>
    </x:xf>
    <x:xf numFmtId="0" fontId="5" fillId="0" borderId="1" xfId="0" applyNumberFormat="1" applyFont="1" applyFill="1" applyBorder="1" applyAlignment="1">
      <x:alignment wrapText="1"/>
    </x:xf>
    <x:xf numFmtId="200" fontId="5" fillId="0" borderId="1" xfId="0" applyNumberFormat="1" applyFont="1" applyFill="1" applyBorder="1" applyAlignment="1">
      <x:alignment wrapText="1"/>
    </x:xf>
    <x:xf numFmtId="0" fontId="5" fillId="0" borderId="9" xfId="0" applyNumberFormat="1" applyFont="1" applyFill="1" applyBorder="1" applyAlignment="1">
      <x:alignment wrapText="1"/>
    </x:xf>
    <x:xf numFmtId="200" fontId="5" fillId="7" borderId="3" xfId="0" applyNumberFormat="1" applyFont="1" applyFill="1" applyBorder="1" applyAlignment="1">
      <x:alignment horizontal="right"/>
    </x:xf>
    <x:xf numFmtId="0" fontId="5" fillId="0" borderId="10" xfId="0" applyNumberFormat="1" applyFont="1" applyFill="1" applyBorder="1" applyAlignment="1">
      <x:alignment wrapText="1"/>
    </x:xf>
    <x:xf numFmtId="0" fontId="5" fillId="0" borderId="11" xfId="0" applyNumberFormat="1" applyFont="1" applyFill="1" applyBorder="1" applyAlignment="1">
      <x:alignment wrapText="1"/>
    </x:xf>
    <x:xf numFmtId="0" fontId="5" fillId="0" borderId="12" xfId="0" applyNumberFormat="1" applyFont="1" applyFill="1" applyBorder="1" applyAlignment="1">
      <x:alignment wrapText="1"/>
    </x:xf>
    <x:xf numFmtId="0" fontId="5" fillId="7" borderId="4" xfId="0" applyNumberFormat="1" applyFont="1" applyFill="1" applyBorder="1" applyAlignment="1">
      <x:alignment horizontal="right"/>
    </x:xf>
    <x:xf numFmtId="0" fontId="5" fillId="6" borderId="1" xfId="0" applyNumberFormat="1" applyFont="1" applyFill="1" applyBorder="1" applyAlignment="1">
      <x:alignment vertical="center" wrapText="1"/>
    </x:xf>
  </x:cellXfs>
  <x:cellStyles count="1">
    <x:cellStyle name="Normal" xfId="0"/>
  </x:cellStyles>
  <x:dxfs count="5">
    <x:dxf>
      <x:font>
        <x:b/>
        <x:color rgb="FF991B1B"/>
      </x:font>
      <x:fill>
        <x:patternFill patternType="solid">
          <x:bgColor rgb="FFFECACA"/>
        </x:patternFill>
      </x:fill>
    </x:dxf>
    <x:dxf>
      <x:font>
        <x:b/>
        <x:color rgb="FF92400E"/>
      </x:font>
      <x:fill>
        <x:patternFill patternType="solid">
          <x:bgColor rgb="FFFDE68A"/>
        </x:patternFill>
      </x:fill>
    </x:dxf>
    <x:dxf>
      <x:font>
        <x:b/>
        <x:color rgb="FF166534"/>
      </x:font>
      <x:fill>
        <x:patternFill patternType="solid">
          <x:bgColor rgb="FFDCFCE7"/>
        </x:patternFill>
      </x:fill>
    </x:dxf>
    <x:dxf>
      <x:font>
        <x:b/>
        <x:color rgb="FF92400E"/>
      </x:font>
      <x:fill>
        <x:patternFill patternType="solid">
          <x:bgColor rgb="FFFDE68A"/>
        </x:patternFill>
      </x:fill>
    </x:dxf>
    <x:dxf>
      <x:font>
        <x:color rgb="FF4B5563"/>
      </x:font>
      <x:fill>
        <x:patternFill patternType="solid">
          <x:bgColor rgb="FFF3F4F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f84ea3591b74972" /><Relationship Type="http://schemas.openxmlformats.org/officeDocument/2006/relationships/theme" Target="/xl/theme/theme1.xml" Id="Rf574ea4345e64ee3" /><Relationship Type="http://schemas.openxmlformats.org/officeDocument/2006/relationships/sharedStrings" Target="/xl/sharedStrings.xml" Id="Rd42059bd214d4d88" /><Relationship Type="http://schemas.openxmlformats.org/officeDocument/2006/relationships/worksheet" Target="/xl/worksheets/sheet1.xml" Id="Rb7ffcf78f8c54648" /><Relationship Type="http://schemas.openxmlformats.org/officeDocument/2006/relationships/worksheet" Target="/xl/worksheets/sheet2.xml" Id="R3f68e87dc3004bf6" /><Relationship Type="http://schemas.openxmlformats.org/officeDocument/2006/relationships/worksheet" Target="/xl/worksheets/sheet3.xml" Id="R22020b77468b4a5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8" hidden="0" customWidth="1"/>
    <x:col min="2" max="2" width="18" hidden="0" customWidth="1"/>
    <x:col min="3" max="3" width="38" hidden="0" customWidth="1"/>
    <x:col min="4" max="4" width="34" hidden="0" customWidth="1"/>
    <x:col min="5" max="5" width="24" hidden="0" customWidth="1"/>
    <x:col min="6" max="6" width="24" hidden="0" customWidth="1"/>
    <x:col min="7" max="7" width="24" hidden="0" customWidth="1"/>
    <x:col min="8" max="8" width="24" hidden="0" customWidth="1"/>
  </x:cols>
  <x:sheetData>
    <x:row r="1" ht="28" customHeight="1">
      <x:c r="A1" s="86" t="str">
        <x:v>CHiPS e-Procurement Chatbot — Human Adjudication Pack</x:v>
      </x:c>
      <x:c r="B1" s="63" t="str">
        <x:v>CHiPS e-Procurement Chatbot — Human Adjudication Pack</x:v>
      </x:c>
      <x:c r="C1" s="63" t="str">
        <x:v>CHiPS e-Procurement Chatbot — Human Adjudication Pack</x:v>
      </x:c>
      <x:c r="D1" s="63" t="str">
        <x:v>CHiPS e-Procurement Chatbot — Human Adjudication Pack</x:v>
      </x:c>
      <x:c r="E1" s="63" t="str">
        <x:v>CHiPS e-Procurement Chatbot — Human Adjudication Pack</x:v>
      </x:c>
      <x:c r="F1" s="63" t="str">
        <x:v>CHiPS e-Procurement Chatbot — Human Adjudication Pack</x:v>
      </x:c>
      <x:c r="G1" s="63" t="str">
        <x:v>CHiPS e-Procurement Chatbot — Human Adjudication Pack</x:v>
      </x:c>
      <x:c r="H1" s="63" t="str">
        <x:v>CHiPS e-Procurement Chatbot — Human Adjudication Pack</x:v>
      </x:c>
    </x:row>
    <x:row r="2">
      <x:c r="A2" s="64"/>
      <x:c r="B2" s="64"/>
      <x:c r="C2" s="64"/>
      <x:c r="D2" s="64"/>
      <x:c r="E2" s="64"/>
      <x:c r="F2" s="64"/>
      <x:c r="G2" s="64"/>
      <x:c r="H2" s="64"/>
    </x:row>
    <x:row r="3" ht="36" customHeight="1">
      <x:c r="A3" s="65" t="str">
        <x:v>Purpose: independently validate the automated benchmark and calibrate the LLM-as-a-judge scores against reviewer judgments. This workbook is evaluation-only; it does not change the production chatbot.</x:v>
      </x:c>
      <x:c r="B3" s="64"/>
      <x:c r="C3" s="64"/>
      <x:c r="D3" s="64"/>
      <x:c r="E3" s="64"/>
      <x:c r="F3" s="64"/>
      <x:c r="G3" s="64"/>
      <x:c r="H3" s="64"/>
    </x:row>
    <x:row r="4">
      <x:c r="A4" s="64"/>
      <x:c r="B4" s="64"/>
      <x:c r="C4" s="64"/>
      <x:c r="D4" s="64"/>
      <x:c r="E4" s="64"/>
      <x:c r="F4" s="64"/>
      <x:c r="G4" s="64"/>
      <x:c r="H4" s="64"/>
    </x:row>
    <x:row r="5" ht="22" customHeight="1">
      <x:c r="A5" s="66" t="str">
        <x:v>Latest automated benchmark (frozen 20-query set)</x:v>
      </x:c>
      <x:c r="B5" s="66" t="str">
        <x:v>Latest automated benchmark (frozen 20-query set)</x:v>
      </x:c>
      <x:c r="C5" s="66" t="str">
        <x:v>Latest automated benchmark (frozen 20-query set)</x:v>
      </x:c>
      <x:c r="D5" s="66" t="str">
        <x:v>Latest automated benchmark (frozen 20-query set)</x:v>
      </x:c>
      <x:c r="E5" s="66" t="str">
        <x:v>Reviewer instructions</x:v>
      </x:c>
      <x:c r="F5" s="66" t="str">
        <x:v>Reviewer instructions</x:v>
      </x:c>
      <x:c r="G5" s="66" t="str">
        <x:v>Reviewer instructions</x:v>
      </x:c>
      <x:c r="H5" s="66" t="str">
        <x:v>Reviewer instructions</x:v>
      </x:c>
    </x:row>
    <x:row r="6" ht="125" customHeight="1">
      <x:c r="A6" s="67" t="str">
        <x:v>Metric</x:v>
      </x:c>
      <x:c r="B6" s="67" t="str">
        <x:v>Latest result</x:v>
      </x:c>
      <x:c r="C6" s="64"/>
      <x:c r="D6" s="64"/>
      <x:c r="E6" s="68" t="str">
        <x:v>For each item in Review Queue:
1. Read the question, chatbot answer, final sources and reviewer reference.
2. Score factual correctness, completeness, workflow/role safety and helpfulness from 1–5.
3. Mark citation relevance as Pass or Fail.
4. Give an overall verdict: Pass, Partial or Fail, then add notes for any material issue.
Do not penalise a correct paraphrase, different wording, or a source-grounded refusal to invent unsupported values.</x:v>
      </x:c>
      <x:c r="F6" s="64"/>
      <x:c r="G6" s="64"/>
      <x:c r="H6" s="64"/>
    </x:row>
    <x:row r="7">
      <x:c r="A7" s="69" t="str">
        <x:v>Actor accuracy</x:v>
      </x:c>
      <x:c r="B7" s="70" t="n">
        <x:v>1</x:v>
      </x:c>
      <x:c r="C7" s="64"/>
      <x:c r="D7" s="64"/>
      <x:c r="E7" s="64"/>
      <x:c r="F7" s="64"/>
      <x:c r="G7" s="64"/>
      <x:c r="H7" s="64"/>
    </x:row>
    <x:row r="8">
      <x:c r="A8" s="71" t="str">
        <x:v>Fine-intent accuracy</x:v>
      </x:c>
      <x:c r="B8" s="72" t="n">
        <x:v>1</x:v>
      </x:c>
      <x:c r="C8" s="64"/>
      <x:c r="D8" s="64"/>
      <x:c r="E8" s="64"/>
      <x:c r="F8" s="64"/>
      <x:c r="G8" s="64"/>
      <x:c r="H8" s="64"/>
    </x:row>
    <x:row r="9">
      <x:c r="A9" s="71" t="str">
        <x:v>Expected source recall — top 10</x:v>
      </x:c>
      <x:c r="B9" s="72" t="n">
        <x:v>0.9</x:v>
      </x:c>
      <x:c r="C9" s="64"/>
      <x:c r="D9" s="64"/>
      <x:c r="E9" s="64"/>
      <x:c r="F9" s="64"/>
      <x:c r="G9" s="64"/>
      <x:c r="H9" s="64"/>
    </x:row>
    <x:row r="10">
      <x:c r="A10" s="71" t="str">
        <x:v>Expected source recall — final context</x:v>
      </x:c>
      <x:c r="B10" s="72" t="n">
        <x:v>0.85</x:v>
      </x:c>
      <x:c r="C10" s="64"/>
      <x:c r="D10" s="64"/>
      <x:c r="E10" s="64"/>
      <x:c r="F10" s="64"/>
      <x:c r="G10" s="64"/>
      <x:c r="H10" s="64"/>
    </x:row>
    <x:row r="11">
      <x:c r="A11" s="71" t="str">
        <x:v>Expected chunk-evidence coverage</x:v>
      </x:c>
      <x:c r="B11" s="72" t="n">
        <x:v>0.95</x:v>
      </x:c>
      <x:c r="C11" s="64"/>
      <x:c r="D11" s="64"/>
      <x:c r="E11" s="64"/>
      <x:c r="F11" s="64"/>
      <x:c r="G11" s="64"/>
      <x:c r="H11" s="64"/>
    </x:row>
    <x:row r="12">
      <x:c r="A12" s="71" t="str">
        <x:v>Literal response-keyword coverage</x:v>
      </x:c>
      <x:c r="B12" s="72" t="n">
        <x:v>0.8625</x:v>
      </x:c>
      <x:c r="C12" s="64"/>
      <x:c r="D12" s="64"/>
      <x:c r="E12" s="64"/>
      <x:c r="F12" s="64"/>
      <x:c r="G12" s="64"/>
      <x:c r="H12" s="64"/>
    </x:row>
    <x:row r="13">
      <x:c r="A13" s="71" t="str">
        <x:v>Reference-answer BGE cosine</x:v>
      </x:c>
      <x:c r="B13" s="73" t="n">
        <x:v>0.8106</x:v>
      </x:c>
      <x:c r="C13" s="64"/>
      <x:c r="D13" s="64"/>
      <x:c r="E13" s="64"/>
      <x:c r="F13" s="64"/>
      <x:c r="G13" s="64"/>
      <x:c r="H13" s="64"/>
    </x:row>
    <x:row r="14">
      <x:c r="A14" s="71" t="str">
        <x:v>Reference-aware LLM judge pass rate</x:v>
      </x:c>
      <x:c r="B14" s="72" t="n">
        <x:v>1</x:v>
      </x:c>
      <x:c r="C14" s="64"/>
      <x:c r="D14" s="64"/>
      <x:c r="E14" s="64"/>
      <x:c r="F14" s="64"/>
      <x:c r="G14" s="64"/>
      <x:c r="H14" s="64"/>
    </x:row>
    <x:row r="15">
      <x:c r="A15" s="71" t="str">
        <x:v>Fallback count</x:v>
      </x:c>
      <x:c r="B15" s="74" t="n">
        <x:v>0</x:v>
      </x:c>
      <x:c r="C15" s="64"/>
      <x:c r="D15" s="64"/>
      <x:c r="E15" s="64"/>
      <x:c r="F15" s="64"/>
      <x:c r="G15" s="64"/>
      <x:c r="H15" s="64"/>
    </x:row>
    <x:row r="16">
      <x:c r="A16" s="75" t="str">
        <x:v>P95 latency (seconds)</x:v>
      </x:c>
      <x:c r="B16" s="76" t="n">
        <x:v>2.899</x:v>
      </x:c>
      <x:c r="C16" s="64"/>
      <x:c r="D16" s="64"/>
      <x:c r="E16" s="64"/>
      <x:c r="F16" s="64"/>
      <x:c r="G16" s="64"/>
      <x:c r="H16" s="64"/>
    </x:row>
    <x:row r="17">
      <x:c r="A17" s="64"/>
      <x:c r="B17" s="64"/>
      <x:c r="C17" s="64"/>
      <x:c r="D17" s="64"/>
      <x:c r="E17" s="64"/>
      <x:c r="F17" s="64"/>
      <x:c r="G17" s="64"/>
      <x:c r="H17" s="64"/>
    </x:row>
    <x:row r="18">
      <x:c r="A18" s="64"/>
      <x:c r="B18" s="64"/>
      <x:c r="C18" s="64"/>
      <x:c r="D18" s="64"/>
      <x:c r="E18" s="64"/>
      <x:c r="F18" s="64"/>
      <x:c r="G18" s="64"/>
      <x:c r="H18" s="64"/>
    </x:row>
    <x:row r="19" ht="22" customHeight="1">
      <x:c r="A19" s="66" t="str">
        <x:v>Acceptance criteria after human review</x:v>
      </x:c>
      <x:c r="B19" s="66" t="str">
        <x:v>Acceptance criteria after human review</x:v>
      </x:c>
      <x:c r="C19" s="66" t="str">
        <x:v>Acceptance criteria after human review</x:v>
      </x:c>
      <x:c r="D19" s="66" t="str">
        <x:v>Acceptance criteria after human review</x:v>
      </x:c>
      <x:c r="E19" s="66" t="str">
        <x:v>Acceptance criteria after human review</x:v>
      </x:c>
      <x:c r="F19" s="66" t="str">
        <x:v>Acceptance criteria after human review</x:v>
      </x:c>
      <x:c r="G19" s="66" t="str">
        <x:v>Acceptance criteria after human review</x:v>
      </x:c>
      <x:c r="H19" s="66" t="str">
        <x:v>Acceptance criteria after human review</x:v>
      </x:c>
    </x:row>
    <x:row r="20">
      <x:c r="A20" s="67" t="str">
        <x:v>Criterion</x:v>
      </x:c>
      <x:c r="B20" s="67" t="str">
        <x:v>Target</x:v>
      </x:c>
      <x:c r="C20" s="67" t="str">
        <x:v>How calculated</x:v>
      </x:c>
      <x:c r="D20" s="67" t="str">
        <x:v>Reason</x:v>
      </x:c>
      <x:c r="E20" s="64"/>
      <x:c r="F20" s="64"/>
      <x:c r="G20" s="64"/>
      <x:c r="H20" s="64"/>
    </x:row>
    <x:row r="21" ht="36" customHeight="1">
      <x:c r="A21" s="77" t="str">
        <x:v>Completed reviews</x:v>
      </x:c>
      <x:c r="B21" s="78" t="str">
        <x:v>At least 18 of 20</x:v>
      </x:c>
      <x:c r="C21" s="78" t="str">
        <x:v>All four 1–5 ratings and an overall verdict entered</x:v>
      </x:c>
      <x:c r="D21" s="79" t="str">
        <x:v>Enough coverage to judge the evaluator</x:v>
      </x:c>
      <x:c r="E21" s="64"/>
      <x:c r="F21" s="64"/>
      <x:c r="G21" s="64"/>
      <x:c r="H21" s="64"/>
    </x:row>
    <x:row r="22" ht="36" customHeight="1">
      <x:c r="A22" s="80" t="str">
        <x:v>Human pass rate</x:v>
      </x:c>
      <x:c r="B22" s="81" t="str">
        <x:v>At least 90%</x:v>
      </x:c>
      <x:c r="C22" s="81" t="str">
        <x:v>Overall verdict = Pass and reviewer mean &gt;= 4</x:v>
      </x:c>
      <x:c r="D22" s="82" t="str">
        <x:v>Release-quality answer set</x:v>
      </x:c>
      <x:c r="E22" s="64"/>
      <x:c r="F22" s="64"/>
      <x:c r="G22" s="64"/>
      <x:c r="H22" s="64"/>
    </x:row>
    <x:row r="23" ht="36" customHeight="1">
      <x:c r="A23" s="80" t="str">
        <x:v>Judge–human agreement</x:v>
      </x:c>
      <x:c r="B23" s="81" t="str">
        <x:v>At least 80%</x:v>
      </x:c>
      <x:c r="C23" s="81" t="str">
        <x:v>Both automated reference-aware judge and human verdict agree on pass/non-pass</x:v>
      </x:c>
      <x:c r="D23" s="82" t="str">
        <x:v>LLM judge becomes a monitored secondary metric</x:v>
      </x:c>
      <x:c r="E23" s="64"/>
      <x:c r="F23" s="64"/>
      <x:c r="G23" s="64"/>
      <x:c r="H23" s="64"/>
    </x:row>
    <x:row r="24" ht="36" customHeight="1">
      <x:c r="A24" s="80" t="str">
        <x:v>Workflow safety</x:v>
      </x:c>
      <x:c r="B24" s="81" t="str">
        <x:v>No score below 4</x:v>
      </x:c>
      <x:c r="C24" s="81" t="str">
        <x:v>Reviewer workflow/role-safety rating</x:v>
      </x:c>
      <x:c r="D24" s="82" t="str">
        <x:v>No unsafe buyer/vendor/operator leakage</x:v>
      </x:c>
      <x:c r="E24" s="64"/>
      <x:c r="F24" s="64"/>
      <x:c r="G24" s="64"/>
      <x:c r="H24" s="64"/>
    </x:row>
    <x:row r="25" ht="36" customHeight="1">
      <x:c r="A25" s="83" t="str">
        <x:v>Citation relevance</x:v>
      </x:c>
      <x:c r="B25" s="84" t="str">
        <x:v>No citation Fail</x:v>
      </x:c>
      <x:c r="C25" s="84" t="str">
        <x:v>Reviewer citation-relevance field</x:v>
      </x:c>
      <x:c r="D25" s="85" t="str">
        <x:v>Displayed sources must support the answer</x:v>
      </x:c>
      <x:c r="E25" s="64"/>
      <x:c r="F25" s="64"/>
      <x:c r="G25" s="64"/>
      <x:c r="H25" s="64"/>
    </x:row>
  </x:sheetData>
  <x:mergeCells>
    <x:mergeCell ref="A1:H1"/>
    <x:mergeCell ref="A3:H3"/>
    <x:mergeCell ref="A5:D5"/>
    <x:mergeCell ref="E5:H5"/>
    <x:mergeCell ref="E6:H12"/>
    <x:mergeCell ref="A19:H19"/>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16" hidden="0" customWidth="1"/>
    <x:col min="3" max="3" width="12" hidden="0" customWidth="1"/>
    <x:col min="4" max="4" width="34" hidden="0" customWidth="1"/>
    <x:col min="5" max="5" width="52" hidden="0" customWidth="1"/>
    <x:col min="6" max="6" width="20" hidden="0" customWidth="1"/>
    <x:col min="7" max="7" width="20" hidden="0" customWidth="1"/>
    <x:col min="8" max="8" width="26" hidden="0" customWidth="1"/>
    <x:col min="9" max="9" width="26" hidden="0" customWidth="1"/>
    <x:col min="10" max="10" width="34" hidden="0" customWidth="1"/>
    <x:col min="11" max="11" width="52" hidden="0" customWidth="1"/>
    <x:col min="12" max="12" width="13" hidden="0" customWidth="1"/>
    <x:col min="13" max="13" width="13" hidden="0" customWidth="1"/>
    <x:col min="14" max="14" width="14" hidden="0" customWidth="1"/>
    <x:col min="15" max="15" width="14" hidden="0" customWidth="1"/>
    <x:col min="16" max="16" width="16" hidden="0" customWidth="1"/>
    <x:col min="17" max="17" width="14" hidden="0" customWidth="1"/>
    <x:col min="18" max="18" width="14" hidden="0" customWidth="1"/>
    <x:col min="19" max="19" width="14" hidden="0" customWidth="1"/>
    <x:col min="20" max="20" width="13" hidden="0" customWidth="1"/>
    <x:col min="21" max="21" width="14" hidden="0" customWidth="1"/>
    <x:col min="22" max="22" width="34" hidden="0" customWidth="1"/>
  </x:cols>
  <x:sheetData>
    <x:row r="1" ht="28" customHeight="1">
      <x:c r="A1" s="4" t="str">
        <x:v>Human Review Queue — Frozen 20-Query Benchmark</x:v>
      </x:c>
      <x:c r="B1" s="4" t="str">
        <x:v>Human Review Queue — Frozen 20-Query Benchmark</x:v>
      </x:c>
      <x:c r="C1" s="4" t="str">
        <x:v>Human Review Queue — Frozen 20-Query Benchmark</x:v>
      </x:c>
      <x:c r="D1" s="4" t="str">
        <x:v>Human Review Queue — Frozen 20-Query Benchmark</x:v>
      </x:c>
      <x:c r="E1" s="4" t="str">
        <x:v>Human Review Queue — Frozen 20-Query Benchmark</x:v>
      </x:c>
      <x:c r="F1" s="4" t="str">
        <x:v>Human Review Queue — Frozen 20-Query Benchmark</x:v>
      </x:c>
      <x:c r="G1" s="4" t="str">
        <x:v>Human Review Queue — Frozen 20-Query Benchmark</x:v>
      </x:c>
      <x:c r="H1" s="4" t="str">
        <x:v>Human Review Queue — Frozen 20-Query Benchmark</x:v>
      </x:c>
      <x:c r="I1" s="4" t="str">
        <x:v>Human Review Queue — Frozen 20-Query Benchmark</x:v>
      </x:c>
      <x:c r="J1" s="4" t="str">
        <x:v>Human Review Queue — Frozen 20-Query Benchmark</x:v>
      </x:c>
      <x:c r="K1" s="4" t="str">
        <x:v>Human Review Queue — Frozen 20-Query Benchmark</x:v>
      </x:c>
      <x:c r="L1" s="4" t="str">
        <x:v>Human Review Queue — Frozen 20-Query Benchmark</x:v>
      </x:c>
      <x:c r="M1" s="4" t="str">
        <x:v>Human Review Queue — Frozen 20-Query Benchmark</x:v>
      </x:c>
      <x:c r="N1" s="4" t="str">
        <x:v>Human Review Queue — Frozen 20-Query Benchmark</x:v>
      </x:c>
      <x:c r="O1" s="4" t="str">
        <x:v>Human Review Queue — Frozen 20-Query Benchmark</x:v>
      </x:c>
      <x:c r="P1" s="4" t="str">
        <x:v>Human Review Queue — Frozen 20-Query Benchmark</x:v>
      </x:c>
      <x:c r="Q1" s="4" t="str">
        <x:v>Human Review Queue — Frozen 20-Query Benchmark</x:v>
      </x:c>
      <x:c r="R1" s="4" t="str">
        <x:v>Human Review Queue — Frozen 20-Query Benchmark</x:v>
      </x:c>
      <x:c r="S1" s="4" t="str">
        <x:v>Human Review Queue — Frozen 20-Query Benchmark</x:v>
      </x:c>
      <x:c r="T1" s="4" t="str">
        <x:v>Human Review Queue — Frozen 20-Query Benchmark</x:v>
      </x:c>
      <x:c r="U1" s="4" t="str">
        <x:v>Human Review Queue — Frozen 20-Query Benchmark</x:v>
      </x:c>
      <x:c r="V1" s="4" t="str">
        <x:v>Human Review Queue — Frozen 20-Query Benchmark</x:v>
      </x:c>
    </x:row>
    <x:row r="2">
      <x:c r="A2" s="6" t="str">
        <x:v>Blue columns contain benchmark evidence. Yellow columns are reviewer inputs. Reviewer Mean and Judge vs Human are formula-driven after review.</x:v>
      </x:c>
    </x:row>
    <x:row r="4" ht="42" customHeight="1">
      <x:c r="A4" s="15" t="str">
        <x:v>ID</x:v>
      </x:c>
      <x:c r="B4" s="15" t="str">
        <x:v>Persona</x:v>
      </x:c>
      <x:c r="C4" s="15" t="str">
        <x:v>Language</x:v>
      </x:c>
      <x:c r="D4" s="15" t="str">
        <x:v>User Question</x:v>
      </x:c>
      <x:c r="E4" s="15" t="str">
        <x:v>Chatbot Answer</x:v>
      </x:c>
      <x:c r="F4" s="15" t="str">
        <x:v>Expected Actor</x:v>
      </x:c>
      <x:c r="G4" s="15" t="str">
        <x:v>Detected Actor</x:v>
      </x:c>
      <x:c r="H4" s="15" t="str">
        <x:v>Expected Intent</x:v>
      </x:c>
      <x:c r="I4" s="15" t="str">
        <x:v>Detected Intent</x:v>
      </x:c>
      <x:c r="J4" s="15" t="str">
        <x:v>Final Source Documents</x:v>
      </x:c>
      <x:c r="K4" s="15" t="str">
        <x:v>Reviewer Reference Answer</x:v>
      </x:c>
      <x:c r="L4" s="15" t="str">
        <x:v>LLM Judge — No Reference</x:v>
      </x:c>
      <x:c r="M4" s="15" t="str">
        <x:v>LLM Judge — With Reference</x:v>
      </x:c>
      <x:c r="N4" s="15" t="str">
        <x:v>Factual Correctness (1–5)</x:v>
      </x:c>
      <x:c r="O4" s="15" t="str">
        <x:v>Completeness (1–5)</x:v>
      </x:c>
      <x:c r="P4" s="15" t="str">
        <x:v>Workflow / Role Safety (1–5)</x:v>
      </x:c>
      <x:c r="Q4" s="15" t="str">
        <x:v>Helpfulness (1–5)</x:v>
      </x:c>
      <x:c r="R4" s="15" t="str">
        <x:v>Citation Relevance</x:v>
      </x:c>
      <x:c r="S4" s="15" t="str">
        <x:v>Overall Verdict</x:v>
      </x:c>
      <x:c r="T4" s="15" t="str">
        <x:v>Reviewer Mean</x:v>
      </x:c>
      <x:c r="U4" s="15" t="str">
        <x:v>Judge vs Human</x:v>
      </x:c>
      <x:c r="V4" s="15" t="str">
        <x:v>Reviewer Notes</x:v>
      </x:c>
    </x:row>
    <x:row r="5" ht="105" customHeight="1">
      <x:c r="A5" s="54" t="str">
        <x:v>H01</x:v>
      </x:c>
      <x:c r="B5" s="55" t="str">
        <x:v>store officer</x:v>
      </x:c>
      <x:c r="C5" s="55" t="str">
        <x:v>en</x:v>
      </x:c>
      <x:c r="D5" s="55" t="str">
        <x:v>Our district office needs 50 laptops for new staff. What should I prepare before choosing GeM or a tender?</x:v>
      </x:c>
      <x:c r="E5" s="55" t="str">
        <x:v>Answer
This is the department buyer/procuring-entity workflow for laptops/computers/IT equipment. The department creates the Tender or GeM Bid; Vendors submit Bids. The buyer must not start with vendor registration or vendor-side Bid submission.
Process
Process
1. Record the need for laptops/computers/IT equipment, purpose, quantity, users and delivery timeline.
2. Prepare generic, measurable and competition-friendly specifications.
3. Estimate the cost and confirm budget availability.
4. Obtain applicable administrative approval and financial sanction.
5. Create the approved purchase indent/procurement request.
6. Check GeM and the applicable Chhattisgarh-approved purchase channel.
7. Select the lawful method under current State rules and delegated powers; Single Tender requires exceptional grounds, written justification and competent approval.
8. Publish the department Tender/GeM Bid and receive Vendor Bids.
9. Document technical/commercial evaluation and rate reasonableness.
10. Issue the Purchase Order/contract after competent approval.
11. Inspect delivery and record formal acceptance.
12. Process payment after acceptance and update the asset/stock register.
Source: Source: Chhattisgarh Store Purchase Rules; Manual for Procurement of Goods 2024</x:v>
      </x:c>
      <x:c r="F5" s="55" t="str">
        <x:v>department_buyer</x:v>
      </x:c>
      <x:c r="G5" s="55" t="str">
        <x:v>department_buyer</x:v>
      </x:c>
      <x:c r="H5" s="55" t="str">
        <x:v>procurement_planning</x:v>
      </x:c>
      <x:c r="I5" s="55" t="str">
        <x:v>procurement_planning</x:v>
      </x:c>
      <x:c r="J5" s="55" t="str">
        <x:v>store purchase rule cg.pdf; publicProManual-1755343081262-715558279.pdf</x:v>
      </x:c>
      <x:c r="K5" s="55" t="str">
        <x:v>Record the consolidated requirement and estimated cost, prepare neutral technical specifications, confirm budget and competent approval, then check whether the required laptops are available on GeM. If the applicable rules do not permit the selected GeM route or the item is unavailable, use the permitted tender route. Do not split the requirement merely to use a different method.</x:v>
      </x:c>
      <x:c r="L5" s="139" t="n">
        <x:v>4</x:v>
      </x:c>
      <x:c r="M5" s="140" t="n">
        <x:v>4</x:v>
      </x:c>
      <x:c r="N5" s="145" t="str"/>
      <x:c r="O5" s="146" t="str"/>
      <x:c r="P5" s="146" t="str"/>
      <x:c r="Q5" s="146" t="str"/>
      <x:c r="R5" s="104" t="str"/>
      <x:c r="S5" s="105" t="str"/>
      <x:c r="T5" s="151" t="str">
        <x:f>IF(COUNT(N5:Q5)&lt;4,"",AVERAGE(N5:Q5))</x:f>
      </x:c>
      <x:c r="U5" s="125" t="str">
        <x:f>IF(OR(T5="",S5=""),"",IF(AND(T5&gt;=4,S5="Pass",M5&gt;=4),"Agree",IF(AND(T5&lt;4,S5&lt;&gt;"Pass",M5&lt;4),"Agree","Review")))</x:f>
      </x:c>
      <x:c r="V5" s="136" t="str"/>
    </x:row>
    <x:row r="6" ht="105" customHeight="1">
      <x:c r="A6" s="57" t="str">
        <x:v>H02</x:v>
      </x:c>
      <x:c r="B6" s="58" t="str">
        <x:v>department buyer</x:v>
      </x:c>
      <x:c r="C6" s="58" t="str">
        <x:v>hinglish</x:v>
      </x:c>
      <x:c r="D6" s="58" t="str">
        <x:v>Department ko 100 chairs chahiye. Kya direct purchase ho sakti hai ya tender karna padega?</x:v>
      </x:c>
      <x:c r="E6" s="58" t="str">
        <x:v>Answer
Direct purchase ya Tender convenience se decide nahi hota. Pehle estimated value, GeM par item/service availability, current rules aur delegated powers check karein. In conditions se jo method permit ho wahi choose karein aur justification/approval record karein.
Process
Process
1. Consolidated requirement aur estimate record karein.
2. GeM par item availability check karein.
3. Applicable value/rule conditions ke mutabik direct purchase, bidding ya Tender method choose karein.
4. Different method use karne ke liye requirement split na karein.
5. Aage badhne se pehle approval aur method justification file par rakhein.
Source: Source: Chhattisgarh Store Purchase Rules; General Financial Rules</x:v>
      </x:c>
      <x:c r="F6" s="58" t="str">
        <x:v>department_buyer</x:v>
      </x:c>
      <x:c r="G6" s="58" t="str">
        <x:v>department_buyer</x:v>
      </x:c>
      <x:c r="H6" s="58" t="str">
        <x:v>procurement_method_selection</x:v>
      </x:c>
      <x:c r="I6" s="58" t="str">
        <x:v>procurement_method_selection</x:v>
      </x:c>
      <x:c r="J6" s="58" t="str">
        <x:v>store purchase rule cg.pdf; GFRupdatedupto31012026.pdf</x:v>
      </x:c>
      <x:c r="K6" s="58" t="str">
        <x:v>Pehle estimated value, specifications aur GeM availability check karein. Direct purchase, limited tender ya open tender sirf current Chhattisgarh rules, delegated powers aur approval ke mutabik choose karein. Requirement ko split karke doosra method use na karein.</x:v>
      </x:c>
      <x:c r="L6" s="141" t="n">
        <x:v>4</x:v>
      </x:c>
      <x:c r="M6" s="142" t="n">
        <x:v>4</x:v>
      </x:c>
      <x:c r="N6" s="147" t="str"/>
      <x:c r="O6" s="148" t="str"/>
      <x:c r="P6" s="148" t="str"/>
      <x:c r="Q6" s="148" t="str"/>
      <x:c r="R6" s="35" t="str"/>
      <x:c r="S6" s="107" t="str"/>
      <x:c r="T6" s="152" t="str">
        <x:f>IF(COUNT(N6:Q6)&lt;4,"",AVERAGE(N6:Q6))</x:f>
      </x:c>
      <x:c r="U6" s="127" t="str">
        <x:f>IF(OR(T6="",S6=""),"",IF(AND(T6&gt;=4,S6="Pass",M6&gt;=4),"Agree",IF(AND(T6&lt;4,S6&lt;&gt;"Pass",M6&lt;4),"Agree","Review")))</x:f>
      </x:c>
      <x:c r="V6" s="137" t="str"/>
    </x:row>
    <x:row r="7" ht="105" customHeight="1">
      <x:c r="A7" s="57" t="str">
        <x:v>H03</x:v>
      </x:c>
      <x:c r="B7" s="58" t="str">
        <x:v>IT procurement officer</x:v>
      </x:c>
      <x:c r="C7" s="58" t="str">
        <x:v>en</x:v>
      </x:c>
      <x:c r="D7" s="58" t="str">
        <x:v>Can I write Dell-only in the laptop specification because our team already uses Dell?</x:v>
      </x:c>
      <x:c r="E7" s="58" t="str">
        <x:v>Answer
Prepare generic, measurable and competition-friendly specifications based on the department's functional and performance need. Avoid a brand or model unless the rules permit it with recorded technical justification and an equivalent provision.
Process
Process
1. Define the required function, capacity, quality and operating environment.
2. State measurable performance, safety and compatibility parameters.
3. Use applicable standards and define tests, inspection and acceptance criteria.
4. Avoid restrictive brand-specific features that reduce competition.
5. Have the specifications reviewed by the user/technical committee before approval.
Source: Source: Manual for Procurement of Goods 2024; Compilation of CVC Circulars and Guidelines</x:v>
      </x:c>
      <x:c r="F7" s="58" t="str">
        <x:v>department_buyer</x:v>
      </x:c>
      <x:c r="G7" s="58" t="str">
        <x:v>department_buyer</x:v>
      </x:c>
      <x:c r="H7" s="58" t="str">
        <x:v>specification_preparation</x:v>
      </x:c>
      <x:c r="I7" s="58" t="str">
        <x:v>specification_preparation</x:v>
      </x:c>
      <x:c r="J7" s="58" t="str">
        <x:v>publicProManual-1755343081262-715558279.pdf; Compilation of CVC Circulars and Guidelines.pdf</x:v>
      </x:c>
      <x:c r="K7" s="58" t="str">
        <x:v>Normally use generic, functional and measurable specifications rather than a brand-only requirement. A brand or model restriction should be used only where a genuine technical or compatibility necessity is recorded in writing and the applicable rules allow it; include an equivalent provision where appropriate.</x:v>
      </x:c>
      <x:c r="L7" s="141" t="n">
        <x:v>4</x:v>
      </x:c>
      <x:c r="M7" s="142" t="n">
        <x:v>4</x:v>
      </x:c>
      <x:c r="N7" s="147" t="str"/>
      <x:c r="O7" s="148" t="str"/>
      <x:c r="P7" s="148" t="str"/>
      <x:c r="Q7" s="148" t="str"/>
      <x:c r="R7" s="35" t="str"/>
      <x:c r="S7" s="107" t="str"/>
      <x:c r="T7" s="152" t="str">
        <x:f>IF(COUNT(N7:Q7)&lt;4,"",AVERAGE(N7:Q7))</x:f>
      </x:c>
      <x:c r="U7" s="127" t="str">
        <x:f>IF(OR(T7="",S7=""),"",IF(AND(T7&gt;=4,S7="Pass",M7&gt;=4),"Agree",IF(AND(T7&lt;4,S7&lt;&gt;"Pass",M7&lt;4),"Agree","Review")))</x:f>
      </x:c>
      <x:c r="V7" s="137" t="str"/>
    </x:row>
    <x:row r="8" ht="105" customHeight="1">
      <x:c r="A8" s="57" t="str">
        <x:v>H04</x:v>
      </x:c>
      <x:c r="B8" s="58" t="str">
        <x:v>accounts officer</x:v>
      </x:c>
      <x:c r="C8" s="58" t="str">
        <x:v>hinglish</x:v>
      </x:c>
      <x:c r="D8" s="58" t="str">
        <x:v>Office ke AC ka AMC renew karna hai. Tender se pehle scope mein kya kya likhna chahiye?</x:v>
      </x:c>
      <x:c r="E8" s="58" t="str">
        <x:v>Answer
AC AMC ke liye goods-delivery workflow se pehle service scope define karein: covered AC units/sites, service frequency, response time, spares coverage, exclusions, uptime/penalty terms, contract period aur payment milestones.
Process
Process
1. Asset list aur service/SLA scope banayein, including response time aur spares responsibility.
2. Contract value estimate karke budget aur required approvals confirm karein.
3. GeM/approved route check karke current rules aur delegated powers ke mutabik method choose karein.
4. Technical service capability, SLA compliance aur financial offer evaluate karein.
5. AMC contract issue/monitor karein, service calls/performance record karein aur completed service ke against invoice certify karein.
Source: Source: Chhattisgarh Store Purchase Rules; Manual for Procurement of Goods 2024</x:v>
      </x:c>
      <x:c r="F8" s="58" t="str">
        <x:v>department_buyer</x:v>
      </x:c>
      <x:c r="G8" s="58" t="str">
        <x:v>department_buyer</x:v>
      </x:c>
      <x:c r="H8" s="58" t="str">
        <x:v>procurement_planning</x:v>
      </x:c>
      <x:c r="I8" s="58" t="str">
        <x:v>procurement_planning</x:v>
      </x:c>
      <x:c r="J8" s="58" t="str">
        <x:v>store purchase rule cg.pdf; publicProManual-1755343081262-715558279.pdf</x:v>
      </x:c>
      <x:c r="K8" s="58" t="str">
        <x:v>AMC scope mein covered AC units and sites, service frequency, response time, uptime or SLA, spares coverage, exclusions, penalty terms, contract period and payment milestones define karein. Estimated value and approvals record karke permitted procurement method choose karein.</x:v>
      </x:c>
      <x:c r="L8" s="141" t="n">
        <x:v>4</x:v>
      </x:c>
      <x:c r="M8" s="142" t="n">
        <x:v>4</x:v>
      </x:c>
      <x:c r="N8" s="147" t="str"/>
      <x:c r="O8" s="148" t="str"/>
      <x:c r="P8" s="148" t="str"/>
      <x:c r="Q8" s="148" t="str"/>
      <x:c r="R8" s="35" t="str"/>
      <x:c r="S8" s="107" t="str"/>
      <x:c r="T8" s="152" t="str">
        <x:f>IF(COUNT(N8:Q8)&lt;4,"",AVERAGE(N8:Q8))</x:f>
      </x:c>
      <x:c r="U8" s="127" t="str">
        <x:f>IF(OR(T8="",S8=""),"",IF(AND(T8&gt;=4,S8="Pass",M8&gt;=4),"Agree",IF(AND(T8&lt;4,S8&lt;&gt;"Pass",M8&lt;4),"Agree","Review")))</x:f>
      </x:c>
      <x:c r="V8" s="137" t="str"/>
    </x:row>
    <x:row r="9" ht="105" customHeight="1">
      <x:c r="A9" s="57" t="str">
        <x:v>H05</x:v>
      </x:c>
      <x:c r="B9" s="58" t="str">
        <x:v>emergency store officer</x:v>
      </x:c>
      <x:c r="C9" s="58" t="str">
        <x:v>en</x:v>
      </x:c>
      <x:c r="D9" s="58" t="str">
        <x:v>Flooding damaged our office network equipment. Can we buy replacements immediately?</x:v>
      </x:c>
      <x:c r="E9" s="58" t="str">
        <x:v>Answer
Do not choose one procurement method by convenience. First prepare the consolidated requirement, specifications and estimated value; check whether suitable goods are available on GeM; then apply the current Chhattisgarh rules, delegated powers and required approval. Use direct purchase, bidding, Limited Tender or Open Tender only where those conditions permit it.
Process
Process
1. Record the full requirement, specifications and estimated value.
2. Check GeM/other approved channels for suitable items.
3. Apply the applicable rules and delegated powers to select the permitted route.
4. Do not split the requirement to use a different method.
5. Record the method justification and approval before proceeding.
Source: Source: Chhattisgarh Store Purchase Rules; General Financial Rules</x:v>
      </x:c>
      <x:c r="F9" s="58" t="str">
        <x:v>department_buyer</x:v>
      </x:c>
      <x:c r="G9" s="58" t="str">
        <x:v>department_buyer</x:v>
      </x:c>
      <x:c r="H9" s="58" t="str">
        <x:v>procurement_method_selection</x:v>
      </x:c>
      <x:c r="I9" s="58" t="str">
        <x:v>procurement_method_selection</x:v>
      </x:c>
      <x:c r="J9" s="58" t="str">
        <x:v>store purchase rule cg.pdf; GFRupdatedupto31012026.pdf</x:v>
      </x:c>
      <x:c r="K9" s="58" t="str">
        <x:v>Emergency procurement may be used only as an exceptional response to the urgent situation. Record the facts and reasons, obtain competent-authority approval, purchase only what is necessary, and follow the applicable Chhattisgarh rules. It is not an unrestricted direct-purchase route.</x:v>
      </x:c>
      <x:c r="L9" s="141" t="n">
        <x:v>4</x:v>
      </x:c>
      <x:c r="M9" s="142" t="n">
        <x:v>4</x:v>
      </x:c>
      <x:c r="N9" s="147" t="str"/>
      <x:c r="O9" s="148" t="str"/>
      <x:c r="P9" s="148" t="str"/>
      <x:c r="Q9" s="148" t="str"/>
      <x:c r="R9" s="35" t="str"/>
      <x:c r="S9" s="107" t="str"/>
      <x:c r="T9" s="152" t="str">
        <x:f>IF(COUNT(N9:Q9)&lt;4,"",AVERAGE(N9:Q9))</x:f>
      </x:c>
      <x:c r="U9" s="127" t="str">
        <x:f>IF(OR(T9="",S9=""),"",IF(AND(T9&gt;=4,S9="Pass",M9&gt;=4),"Agree",IF(AND(T9&lt;4,S9&lt;&gt;"Pass",M9&lt;4),"Agree","Review")))</x:f>
      </x:c>
      <x:c r="V9" s="137" t="str"/>
    </x:row>
    <x:row r="10" ht="105" customHeight="1">
      <x:c r="A10" s="57" t="str">
        <x:v>H06</x:v>
      </x:c>
      <x:c r="B10" s="58" t="str">
        <x:v>first-time vendor</x:v>
      </x:c>
      <x:c r="C10" s="58" t="str">
        <x:v>en</x:v>
      </x:c>
      <x:c r="D10" s="58" t="str">
        <x:v>I have never used the Chhattisgarh e-procurement portal. How do I become a registered bidder?</x:v>
      </x:c>
      <x:c r="E10" s="58" t="str">
        <x:v>Answer
A new domestic supplier registers through the CHiPS e-Procurement portal's New Supplier Registration workflow.
Process
Process
1. Select New Supplier Registration on the portal.
2. Enter the supplier's PAN details.
3. Upload the CRN certificate where the applicable vendor class requires it.
4. Create the preferred login code and enter the business/contact details.
5. Review and submit the registration, then complete the valid DSC mapping required for authenticated portal transactions.
Source: Source: Vendor Registration Manual (CHiPS)</x:v>
      </x:c>
      <x:c r="F10" s="58" t="str">
        <x:v>vendor_bidder</x:v>
      </x:c>
      <x:c r="G10" s="58" t="str">
        <x:v>vendor_bidder</x:v>
      </x:c>
      <x:c r="H10" s="58" t="str">
        <x:v>vendor_registration</x:v>
      </x:c>
      <x:c r="I10" s="58" t="str">
        <x:v>vendor_registration</x:v>
      </x:c>
      <x:c r="J10" s="58" t="str">
        <x:v>CHiPS_Vendor_Registration_Manual_English.pdf; AuctionManual_FA.pdf</x:v>
      </x:c>
      <x:c r="K10" s="58" t="str">
        <x:v>Open the Chhattisgarh e-procurement portal, choose New User under registration, enter the required PAN and organisation details, upload the required information, select or map the appropriate DSC, accept the terms and conditions, and retain the generated registration number. Follow the current portal instructions for fees and approval.</x:v>
      </x:c>
      <x:c r="L10" s="141" t="n">
        <x:v>4</x:v>
      </x:c>
      <x:c r="M10" s="142" t="n">
        <x:v>4</x:v>
      </x:c>
      <x:c r="N10" s="147" t="str"/>
      <x:c r="O10" s="148" t="str"/>
      <x:c r="P10" s="148" t="str"/>
      <x:c r="Q10" s="148" t="str"/>
      <x:c r="R10" s="35" t="str"/>
      <x:c r="S10" s="107" t="str"/>
      <x:c r="T10" s="152" t="str">
        <x:f>IF(COUNT(N10:Q10)&lt;4,"",AVERAGE(N10:Q10))</x:f>
      </x:c>
      <x:c r="U10" s="127" t="str">
        <x:f>IF(OR(T10="",S10=""),"",IF(AND(T10&gt;=4,S10="Pass",M10&gt;=4),"Agree",IF(AND(T10&lt;4,S10&lt;&gt;"Pass",M10&lt;4),"Agree","Review")))</x:f>
      </x:c>
      <x:c r="V10" s="137" t="str"/>
    </x:row>
    <x:row r="11" ht="105" customHeight="1">
      <x:c r="A11" s="57" t="str">
        <x:v>H07</x:v>
      </x:c>
      <x:c r="B11" s="58" t="str">
        <x:v>existing bidder</x:v>
      </x:c>
      <x:c r="C11" s="58" t="str">
        <x:v>hinglish</x:v>
      </x:c>
      <x:c r="D11" s="58" t="str">
        <x:v>Mera DSC renew ho gaya hai, ab portal par purana certificate kaise replace karun?</x:v>
      </x:c>
      <x:c r="E11" s="58" t="str">
        <x:v>Answer
Bid submit karne se pehle valid DSC ko registered bidder account ke saath map/register karein.
Process
Process
1. DSC token drivers aur required portal signing utility install karein.
2. Valid signing/encryption DSC insert karke registered bidder account se login karein.
3. DSC registration/mapping option kholkar correct certificate select karein.
4. Prompt par authenticate/sign karke mapping submit karein.
5. Portal par DSC registered confirmation check karein; renewed/replaced DSC ko Bid se pehle dobara map karein.
Source: Source: Vendor Registration Manual (CHiPS)</x:v>
      </x:c>
      <x:c r="F11" s="58" t="str">
        <x:v>vendor_bidder</x:v>
      </x:c>
      <x:c r="G11" s="58" t="str">
        <x:v>vendor_bidder</x:v>
      </x:c>
      <x:c r="H11" s="58" t="str">
        <x:v>dsc_mapping</x:v>
      </x:c>
      <x:c r="I11" s="58" t="str">
        <x:v>dsc_mapping</x:v>
      </x:c>
      <x:c r="J11" s="58" t="str">
        <x:v>CHiPS_Vendor_Registration_Manual_English.pdf</x:v>
      </x:c>
      <x:c r="K11" s="58" t="str">
        <x:v>Apne vendor account mein login karke DSC selection or mapping screen par renewed DSC select karein, required confirmation complete karein, aur portal status verify karein. Valid signing/encryption DSC use karein; tender-specific signing steps alag ho sakte hain.</x:v>
      </x:c>
      <x:c r="L11" s="141" t="n">
        <x:v>4</x:v>
      </x:c>
      <x:c r="M11" s="142" t="n">
        <x:v>4</x:v>
      </x:c>
      <x:c r="N11" s="147" t="str"/>
      <x:c r="O11" s="148" t="str"/>
      <x:c r="P11" s="148" t="str"/>
      <x:c r="Q11" s="148" t="str"/>
      <x:c r="R11" s="35" t="str"/>
      <x:c r="S11" s="107" t="str"/>
      <x:c r="T11" s="152" t="str">
        <x:f>IF(COUNT(N11:Q11)&lt;4,"",AVERAGE(N11:Q11))</x:f>
      </x:c>
      <x:c r="U11" s="127" t="str">
        <x:f>IF(OR(T11="",S11=""),"",IF(AND(T11&gt;=4,S11="Pass",M11&gt;=4),"Agree",IF(AND(T11&lt;4,S11&lt;&gt;"Pass",M11&lt;4),"Agree","Review")))</x:f>
      </x:c>
      <x:c r="V11" s="137" t="str"/>
    </x:row>
    <x:row r="12" ht="105" customHeight="1">
      <x:c r="A12" s="57" t="str">
        <x:v>H08</x:v>
      </x:c>
      <x:c r="B12" s="58" t="str">
        <x:v>vendor</x:v>
      </x:c>
      <x:c r="C12" s="58" t="str">
        <x:v>en</x:v>
      </x:c>
      <x:c r="D12" s="58" t="str">
        <x:v>My EMD payment failed, but the bank has debited the amount. What should I do before the bid deadline?</x:v>
      </x:c>
      <x:c r="E12" s="58" t="str">
        <x:v>Answer
If an EMD/Bid Security eChallan payment failed after the amount was debited, and it is not credited to the beneficiary account by the Tender's Bid Due Date, the payment may be returned to the source account and the Bid may be treated as unpaid or rejected. Do not use a screenshot's amount or date; the specific Tender controls.
Process
Process
1. Check the transaction and EMD/Bid Security payment status in the relevant Tender.
2. Compare the credited amount and time with that Tender's current Bid Due Date.
3. Do not re-use the same challan for another Tender.
4. If the status is not Successful or the credit has not reached the beneficiary, preserve the receipt/reference and use the Tender's official payment-support route before submitting a Bid.
Source: Source: EMD CHALLAN PAYMENT V1.0</x:v>
      </x:c>
      <x:c r="F12" s="58" t="str">
        <x:v>vendor_bidder</x:v>
      </x:c>
      <x:c r="G12" s="58" t="str">
        <x:v>vendor_bidder</x:v>
      </x:c>
      <x:c r="H12" s="58" t="str">
        <x:v>emd_payment_failure</x:v>
      </x:c>
      <x:c r="I12" s="58" t="str">
        <x:v>emd_payment_failure</x:v>
      </x:c>
      <x:c r="J12" s="58" t="str">
        <x:v>EMD_CHALLAN_PAYMENT_V1.0.pdf</x:v>
      </x:c>
      <x:c r="K12" s="58" t="str">
        <x:v>Do not assume that a bank debit means the EMD is successful. Check the portal payment status and transaction details, retain the bank and portal reference or receipt, and contact the portal/payment helpdesk promptly if the status remains unsuccessful. Complete a valid EMD payment before the bid deadline where the tender requires it.</x:v>
      </x:c>
      <x:c r="L12" s="141" t="n">
        <x:v>4</x:v>
      </x:c>
      <x:c r="M12" s="142" t="n">
        <x:v>4</x:v>
      </x:c>
      <x:c r="N12" s="147" t="str"/>
      <x:c r="O12" s="148" t="str"/>
      <x:c r="P12" s="148" t="str"/>
      <x:c r="Q12" s="148" t="str"/>
      <x:c r="R12" s="35" t="str"/>
      <x:c r="S12" s="107" t="str"/>
      <x:c r="T12" s="152" t="str">
        <x:f>IF(COUNT(N12:Q12)&lt;4,"",AVERAGE(N12:Q12))</x:f>
      </x:c>
      <x:c r="U12" s="127" t="str">
        <x:f>IF(OR(T12="",S12=""),"",IF(AND(T12&gt;=4,S12="Pass",M12&gt;=4),"Agree",IF(AND(T12&lt;4,S12&lt;&gt;"Pass",M12&lt;4),"Agree","Review")))</x:f>
      </x:c>
      <x:c r="V12" s="137" t="str"/>
    </x:row>
    <x:row r="13" ht="105" customHeight="1">
      <x:c r="A13" s="57" t="str">
        <x:v>H09</x:v>
      </x:c>
      <x:c r="B13" s="58" t="str">
        <x:v>unsuccessful bidder</x:v>
      </x:c>
      <x:c r="C13" s="58" t="str">
        <x:v>hinglish</x:v>
      </x:c>
      <x:c r="D13" s="58" t="str">
        <x:v>Technical bid mein reject ho gaya hoon. Meri EMD refund kab aur kaise aayegi?</x:v>
      </x:c>
      <x:c r="E13" s="58" t="str">
        <x:v>Answer
Unsuccessful bidder ki EMD refund process applicable Bid opening/evaluation stage ke baad Department Admin initiate karta hai.
Process
Process
1. Department Admin eligible unsuccessful bidder ki EMD select kare.
2. Department Approver refund verify karke approve kare.
3. e-Procurement system approved refund instruction bank ko bheje.
4. Amount bidder ke registered bank account mein credit hone ke baad portal status check karein.
Source: Source: EMD Refund Guidelines (CHiPS); Manual for Procurement of Goods 2024</x:v>
      </x:c>
      <x:c r="F13" s="58" t="str">
        <x:v>vendor_bidder</x:v>
      </x:c>
      <x:c r="G13" s="58" t="str">
        <x:v>vendor_bidder</x:v>
      </x:c>
      <x:c r="H13" s="58" t="str">
        <x:v>emd_refund_unsuccessful_bidder</x:v>
      </x:c>
      <x:c r="I13" s="58" t="str">
        <x:v>emd_refund_unsuccessful_bidder</x:v>
      </x:c>
      <x:c r="J13" s="58" t="str">
        <x:v>Online_EMD_Refund_Notice.pdf; publicProManual-1755343081262-715558279.pdf</x:v>
      </x:c>
      <x:c r="K13" s="58" t="str">
        <x:v>Unsuccessful bidder ki EMD refund department/tender owner opening and evaluation ke baad initiate karta hai, aur authorised department approver verification ke baad approve karta hai. System registered bank account ko refund instruction bhejta hai; bidder portal par refund status check kar sakta hai.</x:v>
      </x:c>
      <x:c r="L13" s="141" t="n">
        <x:v>4</x:v>
      </x:c>
      <x:c r="M13" s="142" t="n">
        <x:v>4</x:v>
      </x:c>
      <x:c r="N13" s="147" t="str"/>
      <x:c r="O13" s="148" t="str"/>
      <x:c r="P13" s="148" t="str"/>
      <x:c r="Q13" s="148" t="str"/>
      <x:c r="R13" s="35" t="str"/>
      <x:c r="S13" s="107" t="str"/>
      <x:c r="T13" s="152" t="str">
        <x:f>IF(COUNT(N13:Q13)&lt;4,"",AVERAGE(N13:Q13))</x:f>
      </x:c>
      <x:c r="U13" s="127" t="str">
        <x:f>IF(OR(T13="",S13=""),"",IF(AND(T13&gt;=4,S13="Pass",M13&gt;=4),"Agree",IF(AND(T13&lt;4,S13&lt;&gt;"Pass",M13&lt;4),"Agree","Review")))</x:f>
      </x:c>
      <x:c r="V13" s="137" t="str"/>
    </x:row>
    <x:row r="14" ht="105" customHeight="1">
      <x:c r="A14" s="57" t="str">
        <x:v>H10</x:v>
      </x:c>
      <x:c r="B14" s="58" t="str">
        <x:v>bidder</x:v>
      </x:c>
      <x:c r="C14" s="58" t="str">
        <x:v>en</x:v>
      </x:c>
      <x:c r="D14" s="58" t="str">
        <x:v>My technical documents are uploaded. Where do I enter the price bid and how do I know it was submitted?</x:v>
      </x:c>
      <x:c r="E14" s="58" t="str">
        <x:v>Answer
You are acting as a Vendor/Bidder. Use a registered bidder account and the valid signing/encryption DSC required by the CHiPS Bid Submission Manual.
Process
Process
1. Complete Vendor registration if it is pending.
2. Register the signing/encryption DSC and log in to the secured portal.
3. Find the relevant Tender/NIT and mark participation where applicable.
4. Review eligibility, dates, corrigenda, fees and EMD/Bid Security conditions.
5. Open Respond to Tender/NIT and upload the required technical documents.
6. Complete the Price Bid, review the submission and submit it with the DSC before the deadline.
7. Save the portal acknowledgement and monitor the Tender status.
Source: Source: CHiPS Bid Submission Manual; CHiPS Vendor Registration Manual</x:v>
      </x:c>
      <x:c r="F14" s="58" t="str">
        <x:v>vendor_bidder</x:v>
      </x:c>
      <x:c r="G14" s="58" t="str">
        <x:v>vendor_bidder</x:v>
      </x:c>
      <x:c r="H14" s="58" t="str">
        <x:v>bid_submission_portal_steps</x:v>
      </x:c>
      <x:c r="I14" s="58" t="str">
        <x:v>bid_submission_portal_steps</x:v>
      </x:c>
      <x:c r="J14" s="58" t="str">
        <x:v>CHiPS_Bid_Submission_Manual_English.pdf</x:v>
      </x:c>
      <x:c r="K14" s="58" t="str">
        <x:v>Use the Financial Bid, Price Bid or BOQ part of the same tender, enter or upload the required price values, validate the figures, sign or encrypt using the valid DSC where required, save and submit before the deadline, and verify the final acknowledgement or status.</x:v>
      </x:c>
      <x:c r="L14" s="141" t="n">
        <x:v>4</x:v>
      </x:c>
      <x:c r="M14" s="142" t="n">
        <x:v>4</x:v>
      </x:c>
      <x:c r="N14" s="147" t="str"/>
      <x:c r="O14" s="148" t="str"/>
      <x:c r="P14" s="148" t="str"/>
      <x:c r="Q14" s="148" t="str"/>
      <x:c r="R14" s="35" t="str"/>
      <x:c r="S14" s="107" t="str"/>
      <x:c r="T14" s="152" t="str">
        <x:f>IF(COUNT(N14:Q14)&lt;4,"",AVERAGE(N14:Q14))</x:f>
      </x:c>
      <x:c r="U14" s="127" t="str">
        <x:f>IF(OR(T14="",S14=""),"",IF(AND(T14&gt;=4,S14="Pass",M14&gt;=4),"Agree",IF(AND(T14&lt;4,S14&lt;&gt;"Pass",M14&lt;4),"Agree","Review")))</x:f>
      </x:c>
      <x:c r="V14" s="137" t="str"/>
    </x:row>
    <x:row r="15" ht="105" customHeight="1">
      <x:c r="A15" s="57" t="str">
        <x:v>H11</x:v>
      </x:c>
      <x:c r="B15" s="58" t="str">
        <x:v>bidder</x:v>
      </x:c>
      <x:c r="C15" s="58" t="str">
        <x:v>hinglish</x:v>
      </x:c>
      <x:c r="D15" s="58" t="str">
        <x:v>Bid submit kar di thi, lekin deadline ke baad rate galat dikha. Kya edit kar sakta hoon?</x:v>
      </x:c>
      <x:c r="E15" s="58" t="str">
        <x:v>Answer
Nahi. Bid-submission deadline ke baad bidder Bid ko alter ya modify nahi kar sakta. Submitted acknowledgement preserve karein aur tender-specific corrigendum/clarification instruction follow karein; pre-deadline edit ya withdrawal steps use na karein.
Source: Source: Bid Submission Manual (CHiPS)</x:v>
      </x:c>
      <x:c r="F15" s="58" t="str">
        <x:v>vendor_bidder</x:v>
      </x:c>
      <x:c r="G15" s="58" t="str">
        <x:v>vendor_bidder</x:v>
      </x:c>
      <x:c r="H15" s="58" t="str">
        <x:v>bid_submission_portal_steps</x:v>
      </x:c>
      <x:c r="I15" s="58" t="str">
        <x:v>bid_submission_portal_steps</x:v>
      </x:c>
      <x:c r="J15" s="58" t="str">
        <x:v>CHiPS_Bid_Submission_Manual_English.pdf</x:v>
      </x:c>
      <x:c r="K15" s="58" t="str">
        <x:v>Nahi. Bid-submission deadline ke baad bid ko alter or modify nahi kiya ja sakta. Submitted acknowledgement preserve karein aur agar tender owner corrigendum or clarification issue kare to uske tender-specific instructions follow karein.</x:v>
      </x:c>
      <x:c r="L15" s="141" t="n">
        <x:v>5</x:v>
      </x:c>
      <x:c r="M15" s="142" t="n">
        <x:v>4</x:v>
      </x:c>
      <x:c r="N15" s="147" t="str"/>
      <x:c r="O15" s="148" t="str"/>
      <x:c r="P15" s="148" t="str"/>
      <x:c r="Q15" s="148" t="str"/>
      <x:c r="R15" s="35" t="str"/>
      <x:c r="S15" s="107" t="str"/>
      <x:c r="T15" s="152" t="str">
        <x:f>IF(COUNT(N15:Q15)&lt;4,"",AVERAGE(N15:Q15))</x:f>
      </x:c>
      <x:c r="U15" s="127" t="str">
        <x:f>IF(OR(T15="",S15=""),"",IF(AND(T15&gt;=4,S15="Pass",M15&gt;=4),"Agree",IF(AND(T15&lt;4,S15&lt;&gt;"Pass",M15&lt;4),"Agree","Review")))</x:f>
      </x:c>
      <x:c r="V15" s="137" t="str"/>
    </x:row>
    <x:row r="16" ht="105" customHeight="1">
      <x:c r="A16" s="57" t="str">
        <x:v>H12</x:v>
      </x:c>
      <x:c r="B16" s="58" t="str">
        <x:v>startup founder</x:v>
      </x:c>
      <x:c r="C16" s="58" t="str">
        <x:v>en</x:v>
      </x:c>
      <x:c r="D16" s="58" t="str">
        <x:v>Our startup wants to bid for a government tender. Does startup status automatically remove every eligibility and EMD condition?</x:v>
      </x:c>
      <x:c r="E16" s="58" t="str">
        <x:v>Answer
Yes, a startup may participate if it meets the tender conditions. A recognised startup may receive any relaxation or procurement preference expressly available under the applicable rules and tender, but startup status does not automatically waive technical compliance, every eligibility condition, EMD, or submission requirements. Check the tender clause and submit the required recognition/evidence before claiming a benefit.
Source: Source: Bid Submission Manual (CHiPS)</x:v>
      </x:c>
      <x:c r="F16" s="58" t="str">
        <x:v>general_information_user</x:v>
      </x:c>
      <x:c r="G16" s="58" t="str">
        <x:v>general_information_user</x:v>
      </x:c>
      <x:c r="H16" s="58" t="str">
        <x:v>tender_eligibility</x:v>
      </x:c>
      <x:c r="I16" s="58" t="str">
        <x:v>tender_eligibility</x:v>
      </x:c>
      <x:c r="J16" s="58" t="str">
        <x:v>CHiPS_Bid_Submission_Manual_English.pdf</x:v>
      </x:c>
      <x:c r="K16" s="58" t="str">
        <x:v>No. A startup may participate if it meets the tender conditions. Any startup relaxation or preference must be expressly available under the applicable rule and tender; startup status does not automatically remove technical compliance, every eligibility condition, EMD, or submission requirements.</x:v>
      </x:c>
      <x:c r="L16" s="141" t="n">
        <x:v>4</x:v>
      </x:c>
      <x:c r="M16" s="142" t="n">
        <x:v>4</x:v>
      </x:c>
      <x:c r="N16" s="147" t="str"/>
      <x:c r="O16" s="148" t="str"/>
      <x:c r="P16" s="148" t="str"/>
      <x:c r="Q16" s="148" t="str"/>
      <x:c r="R16" s="35" t="str"/>
      <x:c r="S16" s="107" t="str"/>
      <x:c r="T16" s="152" t="str">
        <x:f>IF(COUNT(N16:Q16)&lt;4,"",AVERAGE(N16:Q16))</x:f>
      </x:c>
      <x:c r="U16" s="127" t="str">
        <x:f>IF(OR(T16="",S16=""),"",IF(AND(T16&gt;=4,S16="Pass",M16&gt;=4),"Agree",IF(AND(T16&lt;4,S16&lt;&gt;"Pass",M16&lt;4),"Agree","Review")))</x:f>
      </x:c>
      <x:c r="V16" s="137" t="str"/>
    </x:row>
    <x:row r="17" ht="105" customHeight="1">
      <x:c r="A17" s="57" t="str">
        <x:v>H13</x:v>
      </x:c>
      <x:c r="B17" s="58" t="str">
        <x:v>foreign supplier</x:v>
      </x:c>
      <x:c r="C17" s="58" t="str">
        <x:v>hinglish</x:v>
      </x:c>
      <x:c r="D17" s="58" t="str">
        <x:v>Hum foreign company hain. CG tender ke liye DSC aur registration ka practical process kya hoga?</x:v>
      </x:c>
      <x:c r="E17" s="58" t="str">
        <x:v>Answer
Foreign company pehle specific Tender ki foreign-bidder eligibility aur conditions check kare. Portal DSC ke liye licensed CA se application form lein, required organisation/identity documents ke saath Indian Embassy se certification karayein, CA ko prescribed payment/document dispatch karein, aur issued DSC/e-token receive karein. Tender-specific eligibility, currency aur registration instructions still control karengi.
Source: Source: Vendor Registration Manual (CHiPS)</x:v>
      </x:c>
      <x:c r="F17" s="58" t="str">
        <x:v>vendor_bidder</x:v>
      </x:c>
      <x:c r="G17" s="58" t="str">
        <x:v>vendor_bidder</x:v>
      </x:c>
      <x:c r="H17" s="58" t="str">
        <x:v>vendor_registration</x:v>
      </x:c>
      <x:c r="I17" s="58" t="str">
        <x:v>vendor_registration</x:v>
      </x:c>
      <x:c r="J17" s="58" t="str">
        <x:v>CHiPS_Vendor_Registration_Manual_English.pdf</x:v>
      </x:c>
      <x:c r="K17" s="58" t="str">
        <x:v>Specific tender ki foreign-bidder conditions pehle check karein. DSC ke liye licensed Certificate Authority ka application process follow karein, required organisation and identity documents Indian Embassy se certify karayein where applicable, then CA instructions ke according documents/payment complete karke DSC or token obtain karein. Tender-specific eligibility and registration requirements still apply.</x:v>
      </x:c>
      <x:c r="L17" s="141" t="n">
        <x:v>4</x:v>
      </x:c>
      <x:c r="M17" s="142" t="n">
        <x:v>4</x:v>
      </x:c>
      <x:c r="N17" s="147" t="str"/>
      <x:c r="O17" s="148" t="str"/>
      <x:c r="P17" s="148" t="str"/>
      <x:c r="Q17" s="148" t="str"/>
      <x:c r="R17" s="35" t="str"/>
      <x:c r="S17" s="107" t="str"/>
      <x:c r="T17" s="152" t="str">
        <x:f>IF(COUNT(N17:Q17)&lt;4,"",AVERAGE(N17:Q17))</x:f>
      </x:c>
      <x:c r="U17" s="127" t="str">
        <x:f>IF(OR(T17="",S17=""),"",IF(AND(T17&gt;=4,S17="Pass",M17&gt;=4),"Agree",IF(AND(T17&lt;4,S17&lt;&gt;"Pass",M17&lt;4),"Agree","Review")))</x:f>
      </x:c>
      <x:c r="V17" s="137" t="str"/>
    </x:row>
    <x:row r="18" ht="105" customHeight="1">
      <x:c r="A18" s="57" t="str">
        <x:v>H14</x:v>
      </x:c>
      <x:c r="B18" s="58" t="str">
        <x:v>auction bidder</x:v>
      </x:c>
      <x:c r="C18" s="58" t="str">
        <x:v>en</x:v>
      </x:c>
      <x:c r="D18" s="58" t="str">
        <x:v>I have been invited to a forward e-auction. What should I check before placing a bid?</x:v>
      </x:c>
      <x:c r="E18" s="58" t="str">
        <x:v>Answer
For a bidder invited to participate in a Forward e-Auction, use the auction-specific workflow in the CHiPS Auction Manual. Before placing a bid, confirm that you are in the correct auction and check the opening price and the minimum bid-change condition shown for that auction.
Process
Process
1. Log in with the bidder user ID, password and the valid DSC.
2. Open the Forward Auction tab and select the relevant auction.
3. Open **View/Respond to RFX** and review the auction details before bidding.
4. Check the displayed opening price and minimum bid-change requirement.
5. Enter the bid only on the basis permitted by those auction conditions, then submit it through the auction screen.
6. Monitor the auction screen for the current status and ranking; the manual notes that it refreshes automatically.
Use the exact conditions displayed for the specific auction; do not assume a price or bid increment that is not shown there.
Source: Source: AuctionManual FA</x:v>
      </x:c>
      <x:c r="F18" s="58" t="str">
        <x:v>vendor_bidder</x:v>
      </x:c>
      <x:c r="G18" s="58" t="str">
        <x:v>vendor_bidder</x:v>
      </x:c>
      <x:c r="H18" s="58" t="str">
        <x:v>auction_participation</x:v>
      </x:c>
      <x:c r="I18" s="58" t="str">
        <x:v>auction_participation</x:v>
      </x:c>
      <x:c r="J18" s="58" t="str">
        <x:v>AuctionManual_FA.pdf</x:v>
      </x:c>
      <x:c r="K18" s="58" t="str">
        <x:v>Log in with the bidder credentials and DSC, open the Auction tab, select the relevant auction and View/Respond to the RFX, review the opening price and minimum bid-change conditions, then place and submit bids only in accordance with those conditions.</x:v>
      </x:c>
      <x:c r="L18" s="141" t="n">
        <x:v>4</x:v>
      </x:c>
      <x:c r="M18" s="142" t="n">
        <x:v>4</x:v>
      </x:c>
      <x:c r="N18" s="147" t="str"/>
      <x:c r="O18" s="148" t="str"/>
      <x:c r="P18" s="148" t="str"/>
      <x:c r="Q18" s="148" t="str"/>
      <x:c r="R18" s="35" t="str"/>
      <x:c r="S18" s="107" t="str"/>
      <x:c r="T18" s="152" t="str">
        <x:f>IF(COUNT(N18:Q18)&lt;4,"",AVERAGE(N18:Q18))</x:f>
      </x:c>
      <x:c r="U18" s="127" t="str">
        <x:f>IF(OR(T18="",S18=""),"",IF(AND(T18&gt;=4,S18="Pass",M18&gt;=4),"Agree",IF(AND(T18&lt;4,S18&lt;&gt;"Pass",M18&lt;4),"Agree","Review")))</x:f>
      </x:c>
      <x:c r="V18" s="137" t="str"/>
    </x:row>
    <x:row r="19" ht="105" customHeight="1">
      <x:c r="A19" s="57" t="str">
        <x:v>H15</x:v>
      </x:c>
      <x:c r="B19" s="58" t="str">
        <x:v>department operator</x:v>
      </x:c>
      <x:c r="C19" s="58" t="str">
        <x:v>en</x:v>
      </x:c>
      <x:c r="D19" s="58" t="str">
        <x:v>I am the department operator. What do I need ready before creating a tender in the portal?</x:v>
      </x:c>
      <x:c r="E19" s="58" t="str">
        <x:v>Answer
Before creating a Tender, prepare the approved procurement inputs first. The available CHiPS manual then supports entering the Manual/Offline Tender record; it does not establish a universal online-Tender screen sequence.
Process
Checklist
1. Keep the approved requirement, estimated cost and competent approvals ready.
2. Finalise neutral technical specifications, the Bid parts, eligibility/document requirements and evaluation conditions.
3. Prepare the NIT reference, tender call number, description, PAC (where applicable), office/division and Tender schedule, including bid dates.
4. Keep the applicable Tender attachments, bidder documents and payment/EMD details ready.
5. Confirm that an authorised department Tender Creator with the required DSC/workflow access will create the record.
6. Then enter and save the Manual Tender Header Detail and attachments in the authorised portal workflow.
Do not publish until the completed Tender record, dates and attachments have been checked against the approved procurement case.
Source: Source: Offline Tender Upload Manual (CHiPS); Manual for Procurement of Goods 2024</x:v>
      </x:c>
      <x:c r="F19" s="58" t="str">
        <x:v>department_operator</x:v>
      </x:c>
      <x:c r="G19" s="58" t="str">
        <x:v>department_operator</x:v>
      </x:c>
      <x:c r="H19" s="58" t="str">
        <x:v>tender_creation_portal_steps</x:v>
      </x:c>
      <x:c r="I19" s="58" t="str">
        <x:v>tender_creation_portal_steps</x:v>
      </x:c>
      <x:c r="J19" s="58" t="str">
        <x:v>Manual_Offline_Tenders_v.1.0.pdf; publicProManual-1755343081262-715558279.pdf</x:v>
      </x:c>
      <x:c r="K19" s="58" t="str">
        <x:v>Before creating the tender, ensure the approved requirement, estimate, procurement method, specifications, eligibility and evaluation conditions, tender schedule, supporting documents, and authorised department-user access are ready. Create only the approved procurement; bidders should not be given department-side workflow steps.</x:v>
      </x:c>
      <x:c r="L19" s="141" t="n">
        <x:v>4</x:v>
      </x:c>
      <x:c r="M19" s="142" t="n">
        <x:v>4</x:v>
      </x:c>
      <x:c r="N19" s="147" t="str"/>
      <x:c r="O19" s="148" t="str"/>
      <x:c r="P19" s="148" t="str"/>
      <x:c r="Q19" s="148" t="str"/>
      <x:c r="R19" s="35" t="str"/>
      <x:c r="S19" s="107" t="str"/>
      <x:c r="T19" s="152" t="str">
        <x:f>IF(COUNT(N19:Q19)&lt;4,"",AVERAGE(N19:Q19))</x:f>
      </x:c>
      <x:c r="U19" s="127" t="str">
        <x:f>IF(OR(T19="",S19=""),"",IF(AND(T19&gt;=4,S19="Pass",M19&gt;=4),"Agree",IF(AND(T19&lt;4,S19&lt;&gt;"Pass",M19&lt;4),"Agree","Review")))</x:f>
      </x:c>
      <x:c r="V19" s="137" t="str"/>
    </x:row>
    <x:row r="20" ht="105" customHeight="1">
      <x:c r="A20" s="57" t="str">
        <x:v>H16</x:v>
      </x:c>
      <x:c r="B20" s="58" t="str">
        <x:v>department operator</x:v>
      </x:c>
      <x:c r="C20" s="58" t="str">
        <x:v>hinglish</x:v>
      </x:c>
      <x:c r="D20" s="58" t="str">
        <x:v>Tender publish ho chuka hai aur last date badhani hai. Corrigendum kaise issue karun?</x:v>
      </x:c>
      <x:c r="E20" s="58" t="str">
        <x:v>Answer
Department User relevant Tender open karke required Corrigendum banata hai, Bid-deletion effect verify karta hai aur approval workflow se publish karta hai.
Process
Process
1. Authorised credentials se login karke Tender search karein, RFQ/Tender code select karein aur Go to RFQ kholein.
2. Required type select karein: Header, Date, EMD/Bid Security, Tender Term, Attachment, Required Attachment ya Item Corrigendum.
3. Changes fill karke Submit/Save aur Close karein. Attachment ke liye document browse, DSC-sign, upload aur Attach karein; Item ke liye prescribed BOQ update karke upload karein.
4. Publish All Corrigendum/Addendum par components aur Bid-deletion setting verify karein. EMD/Bid Security aur Item Corrigendum existing Bid ko mandatorily delete karte hain.
5. Publish karein; approver, remarks aur attachment fill karke Initiate karein aur authorised DSC select karein.
6. Approver Workflow Inbox mein Detail open karke review, remarks/DSC ke saath Approve kare.
7. Workflow approved aur Corrigendum published successfully status verify karein.
Source: Source: Corrigendum Issuance Manual (CHiPS)</x:v>
      </x:c>
      <x:c r="F20" s="58" t="str">
        <x:v>department_operator</x:v>
      </x:c>
      <x:c r="G20" s="58" t="str">
        <x:v>department_operator</x:v>
      </x:c>
      <x:c r="H20" s="58" t="str">
        <x:v>corrigendum_portal_steps</x:v>
      </x:c>
      <x:c r="I20" s="58" t="str">
        <x:v>corrigendum_portal_steps</x:v>
      </x:c>
      <x:c r="J20" s="58" t="str">
        <x:v>CHiPS_Corrigendum_Issuance_Manual.pdf</x:v>
      </x:c>
      <x:c r="K20" s="58" t="str">
        <x:v>Authorised department user relevant tender par date corrigendum create kare, revised deadline and related details verify kare, required approval/route complete kare, aur corrigendum publish kare. Published revised date bidders ko portal par visible honi chahiye.</x:v>
      </x:c>
      <x:c r="L20" s="141" t="n">
        <x:v>4</x:v>
      </x:c>
      <x:c r="M20" s="142" t="n">
        <x:v>4</x:v>
      </x:c>
      <x:c r="N20" s="147" t="str"/>
      <x:c r="O20" s="148" t="str"/>
      <x:c r="P20" s="148" t="str"/>
      <x:c r="Q20" s="148" t="str"/>
      <x:c r="R20" s="35" t="str"/>
      <x:c r="S20" s="107" t="str"/>
      <x:c r="T20" s="152" t="str">
        <x:f>IF(COUNT(N20:Q20)&lt;4,"",AVERAGE(N20:Q20))</x:f>
      </x:c>
      <x:c r="U20" s="127" t="str">
        <x:f>IF(OR(T20="",S20=""),"",IF(AND(T20&gt;=4,S20="Pass",M20&gt;=4),"Agree",IF(AND(T20&lt;4,S20&lt;&gt;"Pass",M20&lt;4),"Agree","Review")))</x:f>
      </x:c>
      <x:c r="V20" s="137" t="str"/>
    </x:row>
    <x:row r="21" ht="105" customHeight="1">
      <x:c r="A21" s="57" t="str">
        <x:v>H17</x:v>
      </x:c>
      <x:c r="B21" s="58" t="str">
        <x:v>bid opener</x:v>
      </x:c>
      <x:c r="C21" s="58" t="str">
        <x:v>en</x:v>
      </x:c>
      <x:c r="D21" s="58" t="str">
        <x:v>The technical-bid opening time has arrived. As the bid opener, what is the safe portal workflow?</x:v>
      </x:c>
      <x:c r="E21" s="58" t="str">
        <x:v>Answer
Use only the authorised department account after the tender's scheduled opening time. Record the opening, check the required bid parts and documents against the published tender conditions, and preserve the system-generated opening record. Evaluate technical responsiveness before opening or evaluating price bids where the tender uses a two-bid process. The available local manuals do not establish a universal screen/button sequence, so follow the department's authorised portal workflow rather than relying on generic menu names.
Source: Source: Manual for Procurement of Goods 2024</x:v>
      </x:c>
      <x:c r="F21" s="58" t="str">
        <x:v>department_operator</x:v>
      </x:c>
      <x:c r="G21" s="58" t="str">
        <x:v>department_operator</x:v>
      </x:c>
      <x:c r="H21" s="58" t="str">
        <x:v>bid_opening_portal_steps</x:v>
      </x:c>
      <x:c r="I21" s="58" t="str">
        <x:v>bid_opening_portal_steps</x:v>
      </x:c>
      <x:c r="J21" s="58" t="str">
        <x:v>publicProManual-1755343081262-715558279.pdf</x:v>
      </x:c>
      <x:c r="K21" s="58" t="str">
        <x:v>Use the authorised department account and the relevant tender after the scheduled opening time. Open the technical bid stage according to the portal and tender process, preserve the bid-opening record, and proceed with eligibility and technical evaluation under the published conditions. Do not disclose or open the price bid unless the applicable stage permits it.</x:v>
      </x:c>
      <x:c r="L21" s="141" t="n">
        <x:v>4</x:v>
      </x:c>
      <x:c r="M21" s="142" t="n">
        <x:v>4</x:v>
      </x:c>
      <x:c r="N21" s="147" t="str"/>
      <x:c r="O21" s="148" t="str"/>
      <x:c r="P21" s="148" t="str"/>
      <x:c r="Q21" s="148" t="str"/>
      <x:c r="R21" s="35" t="str"/>
      <x:c r="S21" s="107" t="str"/>
      <x:c r="T21" s="152" t="str">
        <x:f>IF(COUNT(N21:Q21)&lt;4,"",AVERAGE(N21:Q21))</x:f>
      </x:c>
      <x:c r="U21" s="127" t="str">
        <x:f>IF(OR(T21="",S21=""),"",IF(AND(T21&gt;=4,S21="Pass",M21&gt;=4),"Agree",IF(AND(T21&lt;4,S21&lt;&gt;"Pass",M21&lt;4),"Agree","Review")))</x:f>
      </x:c>
      <x:c r="V21" s="137" t="str"/>
    </x:row>
    <x:row r="22" ht="105" customHeight="1">
      <x:c r="A22" s="57" t="str">
        <x:v>H18</x:v>
      </x:c>
      <x:c r="B22" s="58" t="str">
        <x:v>department accounts operator</x:v>
      </x:c>
      <x:c r="C22" s="58" t="str">
        <x:v>hinglish</x:v>
      </x:c>
      <x:c r="D22" s="58" t="str">
        <x:v>Unsuccessful bidders ka EMD refund department side se initiate kaise hota hai?</x:v>
      </x:c>
      <x:c r="E22" s="58" t="str">
        <x:v>Answer
Unsuccessful bidder ki EMD refund process applicable Bid opening/evaluation stage ke baad department process karta hai.
Process
Process
1. Department Admin eligible unsuccessful bidder ki EMD refund/remittance initiate kare.
2. Department Approver details aur eligibility verify karke approve kare.
3. Approval ke baad e-Procurement system bank ko refund instruction bhejta hai.
4. Amount bidder ke registered bank account mein credit hota hai; Department Admin MIS/portal status mein completion verify kare. Department approval ke baad credit normally 1–2 din le sakta hai.
Source: Source: EMD Refund Guidelines (CHiPS)</x:v>
      </x:c>
      <x:c r="F22" s="58" t="str">
        <x:v>department_operator</x:v>
      </x:c>
      <x:c r="G22" s="58" t="str">
        <x:v>department_operator</x:v>
      </x:c>
      <x:c r="H22" s="58" t="str">
        <x:v>emd_remittance_to_department</x:v>
      </x:c>
      <x:c r="I22" s="58" t="str">
        <x:v>emd_remittance_to_department</x:v>
      </x:c>
      <x:c r="J22" s="58" t="str">
        <x:v>Online_EMD_Refund_Notice.pdf</x:v>
      </x:c>
      <x:c r="K22" s="58" t="str">
        <x:v>Tender owner or department admin unsuccessful bidders ke liye EMD remittance/refund process initiate karta hai after the applicable opening and evaluation stages. Department approver verification ke baad approval deta hai, aur system registered bidder bank accounts ko refund instruction bhejta hai.</x:v>
      </x:c>
      <x:c r="L22" s="141" t="n">
        <x:v>4</x:v>
      </x:c>
      <x:c r="M22" s="142" t="n">
        <x:v>4</x:v>
      </x:c>
      <x:c r="N22" s="147" t="str"/>
      <x:c r="O22" s="148" t="str"/>
      <x:c r="P22" s="148" t="str"/>
      <x:c r="Q22" s="148" t="str"/>
      <x:c r="R22" s="35" t="str"/>
      <x:c r="S22" s="107" t="str"/>
      <x:c r="T22" s="152" t="str">
        <x:f>IF(COUNT(N22:Q22)&lt;4,"",AVERAGE(N22:Q22))</x:f>
      </x:c>
      <x:c r="U22" s="127" t="str">
        <x:f>IF(OR(T22="",S22=""),"",IF(AND(T22&gt;=4,S22="Pass",M22&gt;=4),"Agree",IF(AND(T22&lt;4,S22&lt;&gt;"Pass",M22&lt;4),"Agree","Review")))</x:f>
      </x:c>
      <x:c r="V22" s="137" t="str"/>
    </x:row>
    <x:row r="23" ht="105" customHeight="1">
      <x:c r="A23" s="57" t="str">
        <x:v>H19</x:v>
      </x:c>
      <x:c r="B23" s="58" t="str">
        <x:v>new procurement officer</x:v>
      </x:c>
      <x:c r="C23" s="58" t="str">
        <x:v>en</x:v>
      </x:c>
      <x:c r="D23" s="58" t="str">
        <x:v>I am new in the office: when should I think about GeM and when is the state e-procurement portal relevant?</x:v>
      </x:c>
      <x:c r="E23" s="58" t="str">
        <x:v>Answer
GeM and the State e-Procurement portal are related, but they are not the same.
| Point | GeM | State e-Procurement portal |
|---|---|---|
| Nature | Government marketplace and procurement channel | Tender-lifecycle channel |
| Main use | Procurement of goods/services | Publishing and managing tenders |
| Supported activity | Direct Purchase, L1 purchase, bidding, Reverse Auction | Tender publication, corrigenda, bid receipt/opening, process record |
| Department decision | Choose a method under applicable GeM rules | Use after selecting the lawful tender route |
A department should first select the lawful procurement method under the applicable rule and then use the correct channel.
Source: Source: Chhattisgarh Store Purchase Rules; Manual for Procurement of Goods 2024</x:v>
      </x:c>
      <x:c r="F23" s="58" t="str">
        <x:v>general_information_user</x:v>
      </x:c>
      <x:c r="G23" s="58" t="str">
        <x:v>general_information_user</x:v>
      </x:c>
      <x:c r="H23" s="58" t="str">
        <x:v>gem_eproc_comparison</x:v>
      </x:c>
      <x:c r="I23" s="58" t="str">
        <x:v>gem_eproc_comparison</x:v>
      </x:c>
      <x:c r="J23" s="58" t="str">
        <x:v>store purchase rule cg.pdf; publicProManual-1755343081262-715558279.pdf</x:v>
      </x:c>
      <x:c r="K23" s="58" t="str">
        <x:v>GeM is the Government e-Marketplace channel used where the goods or services and the permitted purchase route are available there. The state e-procurement portal is used for portal-managed tender, bid and related processes. The department must select the route permitted by current Chhattisgarh rules and approvals.</x:v>
      </x:c>
      <x:c r="L23" s="141" t="n">
        <x:v>4</x:v>
      </x:c>
      <x:c r="M23" s="142" t="n">
        <x:v>4</x:v>
      </x:c>
      <x:c r="N23" s="147" t="str"/>
      <x:c r="O23" s="148" t="str"/>
      <x:c r="P23" s="148" t="str"/>
      <x:c r="Q23" s="148" t="str"/>
      <x:c r="R23" s="35" t="str"/>
      <x:c r="S23" s="107" t="str"/>
      <x:c r="T23" s="152" t="str">
        <x:f>IF(COUNT(N23:Q23)&lt;4,"",AVERAGE(N23:Q23))</x:f>
      </x:c>
      <x:c r="U23" s="127" t="str">
        <x:f>IF(OR(T23="",S23=""),"",IF(AND(T23&gt;=4,S23="Pass",M23&gt;=4),"Agree",IF(AND(T23&lt;4,S23&lt;&gt;"Pass",M23&lt;4),"Agree","Review")))</x:f>
      </x:c>
      <x:c r="V23" s="137" t="str"/>
    </x:row>
    <x:row r="24" ht="105" customHeight="1">
      <x:c r="A24" s="60" t="str">
        <x:v>H20</x:v>
      </x:c>
      <x:c r="B24" s="61" t="str">
        <x:v>citizen information seeker</x:v>
      </x:c>
      <x:c r="C24" s="61" t="str">
        <x:v>hi</x:v>
      </x:c>
      <x:c r="D24" s="61" t="str">
        <x:v>[Hindi query — English review translation] In Chhattisgarh, what are the main methods of government procurement?</x:v>
      </x:c>
      <x:c r="E24" s="61" t="str">
        <x:v>[Hindi chatbot answer — English review translation] The Chhattisgarh Store Purchase Rules govern procurement by covered State departments and offices. The answer identifies approved channels such as GeM, Single/Limited/Open Tender methods, permitted direct or inter-departmental purchase, and controls over specifications, competition, evaluation and award. Source: Chhattisgarh Store Purchase Rules.</x:v>
      </x:c>
      <x:c r="F24" s="61" t="str">
        <x:v>general_information_user</x:v>
      </x:c>
      <x:c r="G24" s="61" t="str">
        <x:v>general_information_user</x:v>
      </x:c>
      <x:c r="H24" s="61" t="str">
        <x:v>procurement_methods_overview</x:v>
      </x:c>
      <x:c r="I24" s="61" t="str">
        <x:v>procurement_methods_overview</x:v>
      </x:c>
      <x:c r="J24" s="61" t="str">
        <x:v>store purchase rule cg.pdf</x:v>
      </x:c>
      <x:c r="K24" s="61" t="str">
        <x:v>[Hindi reviewer reference — English review translation] Depending on the applicable rules, routes may include GeM or the State online portal, tender procurement, purchase from another government department or undertaking, and permitted special purchase in exceptional situations such as disaster or law-and-order emergencies. Each route remains subject to applicable conditions and approvals.</x:v>
      </x:c>
      <x:c r="L24" s="143" t="n">
        <x:v>4</x:v>
      </x:c>
      <x:c r="M24" s="144" t="n">
        <x:v>4</x:v>
      </x:c>
      <x:c r="N24" s="149" t="str"/>
      <x:c r="O24" s="150" t="str"/>
      <x:c r="P24" s="150" t="str"/>
      <x:c r="Q24" s="150" t="str"/>
      <x:c r="R24" s="109" t="str"/>
      <x:c r="S24" s="110" t="str"/>
      <x:c r="T24" s="153" t="str">
        <x:f>IF(COUNT(N24:Q24)&lt;4,"",AVERAGE(N24:Q24))</x:f>
      </x:c>
      <x:c r="U24" s="129" t="str">
        <x:f>IF(OR(T24="",S24=""),"",IF(AND(T24&gt;=4,S24="Pass",M24&gt;=4),"Agree",IF(AND(T24&lt;4,S24&lt;&gt;"Pass",M24&lt;4),"Agree","Review")))</x:f>
      </x:c>
      <x:c r="V24" s="138" t="str"/>
    </x:row>
  </x:sheetData>
  <x:mergeCells>
    <x:mergeCell ref="A1:V1"/>
    <x:mergeCell ref="A2:V2"/>
  </x:mergeCells>
  <x:conditionalFormatting sqref="N5:Q24">
    <x:cfRule type="colorScale" priority="1">
      <x:colorScale>
        <x:cfvo type="min"/>
        <x:cfvo type="percentile" val="50"/>
        <x:cfvo type="max"/>
        <x:color rgb="FFFEE2E2"/>
        <x:color rgb="FFFEF3C7"/>
        <x:color rgb="FFDCFCE7"/>
      </x:colorScale>
    </x:cfRule>
  </x:conditionalFormatting>
  <x:conditionalFormatting sqref="R5:S24">
    <x:cfRule type="containsText" dxfId="0" priority="2" operator="containsText" text="Fail"/>
  </x:conditionalFormatting>
  <x:conditionalFormatting sqref="U5:U24">
    <x:cfRule type="containsText" dxfId="1" priority="3" operator="containsText" text="Review"/>
  </x:conditionalFormatting>
  <x:dataValidations count="3">
    <x:dataValidation type="list" sqref="N5:Q24">
      <x:formula1>"1,2,3,4,5"</x:formula1>
    </x:dataValidation>
    <x:dataValidation type="list" sqref="R5:R24">
      <x:formula1>"Pass,Fail"</x:formula1>
    </x:dataValidation>
    <x:dataValidation type="list" sqref="S5:S24">
      <x:formula1>"Pass,Partial,Fail"</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30" hidden="0" customWidth="1"/>
    <x:col min="2" max="2" width="18" hidden="0" customWidth="1"/>
    <x:col min="3" max="3" width="20" hidden="0" customWidth="1"/>
    <x:col min="4" max="4" width="20" hidden="0" customWidth="1"/>
    <x:col min="5" max="5" width="22" hidden="0" customWidth="1"/>
    <x:col min="6" max="6" width="22" hidden="0" customWidth="1"/>
    <x:col min="7" max="7" width="22" hidden="0" customWidth="1"/>
    <x:col min="8" max="8" width="22" hidden="0" customWidth="1"/>
  </x:cols>
  <x:sheetData>
    <x:row r="1" ht="28" customHeight="1">
      <x:c r="A1" s="86" t="str">
        <x:v>Human Adjudication and LLM-Judge Calibration Summary</x:v>
      </x:c>
      <x:c r="B1" s="63" t="str">
        <x:v>Human Adjudication and LLM-Judge Calibration Summary</x:v>
      </x:c>
      <x:c r="C1" s="63" t="str">
        <x:v>Human Adjudication and LLM-Judge Calibration Summary</x:v>
      </x:c>
      <x:c r="D1" s="63" t="str">
        <x:v>Human Adjudication and LLM-Judge Calibration Summary</x:v>
      </x:c>
      <x:c r="E1" s="63" t="str">
        <x:v>Human Adjudication and LLM-Judge Calibration Summary</x:v>
      </x:c>
      <x:c r="F1" s="63" t="str">
        <x:v>Human Adjudication and LLM-Judge Calibration Summary</x:v>
      </x:c>
      <x:c r="G1" s="63" t="str">
        <x:v>Human Adjudication and LLM-Judge Calibration Summary</x:v>
      </x:c>
      <x:c r="H1" s="63" t="str">
        <x:v>Human Adjudication and LLM-Judge Calibration Summary</x:v>
      </x:c>
    </x:row>
    <x:row r="2">
      <x:c r="A2" s="64"/>
      <x:c r="B2" s="64"/>
      <x:c r="C2" s="64"/>
      <x:c r="D2" s="64"/>
      <x:c r="E2" s="64"/>
      <x:c r="F2" s="64"/>
      <x:c r="G2" s="64"/>
      <x:c r="H2" s="64"/>
    </x:row>
    <x:row r="3">
      <x:c r="A3" s="163" t="str">
        <x:v>Complete the yellow reviewer cells in Review Queue. This sheet updates automatically and shows whether the LLM judge is sufficiently aligned with human reviewers.</x:v>
      </x:c>
      <x:c r="B3" s="64"/>
      <x:c r="C3" s="64"/>
      <x:c r="D3" s="64"/>
      <x:c r="E3" s="64"/>
      <x:c r="F3" s="64"/>
      <x:c r="G3" s="64"/>
      <x:c r="H3" s="64"/>
    </x:row>
    <x:row r="4">
      <x:c r="A4" s="64"/>
      <x:c r="B4" s="64"/>
      <x:c r="C4" s="64"/>
      <x:c r="D4" s="64"/>
      <x:c r="E4" s="64"/>
      <x:c r="F4" s="64"/>
      <x:c r="G4" s="64"/>
      <x:c r="H4" s="64"/>
    </x:row>
    <x:row r="5" ht="22" customHeight="1">
      <x:c r="A5" s="66" t="str">
        <x:v>Review completion and outcomes</x:v>
      </x:c>
      <x:c r="B5" s="66" t="str">
        <x:v>Review completion and outcomes</x:v>
      </x:c>
      <x:c r="C5" s="66" t="str">
        <x:v>Review completion and outcomes</x:v>
      </x:c>
      <x:c r="D5" s="66" t="str">
        <x:v>Review completion and outcomes</x:v>
      </x:c>
      <x:c r="E5" s="66" t="str">
        <x:v>Acceptance check</x:v>
      </x:c>
      <x:c r="F5" s="66" t="str">
        <x:v>Acceptance check</x:v>
      </x:c>
      <x:c r="G5" s="66" t="str">
        <x:v>Acceptance check</x:v>
      </x:c>
      <x:c r="H5" s="66" t="str">
        <x:v>Acceptance check</x:v>
      </x:c>
    </x:row>
    <x:row r="6">
      <x:c r="A6" s="67" t="str">
        <x:v>Metric</x:v>
      </x:c>
      <x:c r="B6" s="67" t="str">
        <x:v>Current value</x:v>
      </x:c>
      <x:c r="C6" s="64"/>
      <x:c r="D6" s="64"/>
      <x:c r="E6" s="67" t="str">
        <x:v>Criterion</x:v>
      </x:c>
      <x:c r="F6" s="67" t="str">
        <x:v>Target</x:v>
      </x:c>
      <x:c r="G6" s="67" t="str">
        <x:v>Formula result</x:v>
      </x:c>
      <x:c r="H6" s="67" t="str">
        <x:v>Status</x:v>
      </x:c>
    </x:row>
    <x:row r="7">
      <x:c r="A7" s="69" t="str">
        <x:v>Completed reviews</x:v>
      </x:c>
      <x:c r="B7" s="164" t="n">
        <x:f>COUNT('Review Queue'!$T$5:$T$24)</x:f>
        <x:v>0</x:v>
      </x:c>
      <x:c r="C7" s="64"/>
      <x:c r="D7" s="64"/>
      <x:c r="E7" s="165" t="str">
        <x:v>Review coverage</x:v>
      </x:c>
      <x:c r="F7" s="166" t="str">
        <x:v>&gt;= 18</x:v>
      </x:c>
      <x:c r="G7" s="166" t="n">
        <x:f>B7</x:f>
        <x:v>0</x:v>
      </x:c>
      <x:c r="H7" s="167" t="str">
        <x:f>IF(G7="","Pending",IF(G7&gt;=18,"Pass","Pending"))</x:f>
        <x:v>Pending</x:v>
      </x:c>
    </x:row>
    <x:row r="8">
      <x:c r="A8" s="71" t="str">
        <x:v>Human Pass</x:v>
      </x:c>
      <x:c r="B8" s="168" t="n">
        <x:f>COUNTIF('Review Queue'!$S$5:$S$24,"Pass")</x:f>
        <x:v>0</x:v>
      </x:c>
      <x:c r="C8" s="64"/>
      <x:c r="D8" s="64"/>
      <x:c r="E8" s="169" t="str">
        <x:v>Human pass rate</x:v>
      </x:c>
      <x:c r="F8" s="170" t="str">
        <x:v>&gt;= 90%</x:v>
      </x:c>
      <x:c r="G8" s="171" t="n">
        <x:f>B11</x:f>
        <x:v>0</x:v>
      </x:c>
      <x:c r="H8" s="172" t="str">
        <x:f>IF(G8="","Pending",IF(G8&gt;=90%,"Pass","Review"))</x:f>
        <x:v>Pending</x:v>
      </x:c>
    </x:row>
    <x:row r="9">
      <x:c r="A9" s="71" t="str">
        <x:v>Human Partial</x:v>
      </x:c>
      <x:c r="B9" s="168" t="n">
        <x:f>COUNTIF('Review Queue'!$S$5:$S$24,"Partial")</x:f>
        <x:v>0</x:v>
      </x:c>
      <x:c r="C9" s="64"/>
      <x:c r="D9" s="64"/>
      <x:c r="E9" s="169" t="str">
        <x:v>Judge–human agreement</x:v>
      </x:c>
      <x:c r="F9" s="170" t="str">
        <x:v>&gt;= 80%</x:v>
      </x:c>
      <x:c r="G9" s="171" t="n">
        <x:f>B13</x:f>
        <x:v>0</x:v>
      </x:c>
      <x:c r="H9" s="172" t="str">
        <x:f>IF(G9="","Pending",IF(G9&gt;=80%,"Pass","Review"))</x:f>
        <x:v>Pending</x:v>
      </x:c>
    </x:row>
    <x:row r="10">
      <x:c r="A10" s="71" t="str">
        <x:v>Human Fail</x:v>
      </x:c>
      <x:c r="B10" s="168" t="n">
        <x:f>COUNTIF('Review Queue'!$S$5:$S$24,"Fail")</x:f>
        <x:v>0</x:v>
      </x:c>
      <x:c r="C10" s="64"/>
      <x:c r="D10" s="64"/>
      <x:c r="E10" s="169" t="str">
        <x:v>Workflow safety</x:v>
      </x:c>
      <x:c r="F10" s="170" t="str">
        <x:v>0 below 4</x:v>
      </x:c>
      <x:c r="G10" s="170" t="n">
        <x:f>B14</x:f>
        <x:v>0</x:v>
      </x:c>
      <x:c r="H10" s="172" t="str">
        <x:f>IF(G10="","Pending",IF(G10=0,"Pass","Review"))</x:f>
        <x:v>Pending</x:v>
      </x:c>
    </x:row>
    <x:row r="11">
      <x:c r="A11" s="71" t="str">
        <x:v>Human pass rate</x:v>
      </x:c>
      <x:c r="B11" s="173" t="str">
        <x:f>IF(B7=0,"",B8/B7)</x:f>
      </x:c>
      <x:c r="C11" s="64"/>
      <x:c r="D11" s="64"/>
      <x:c r="E11" s="174" t="str">
        <x:v>Citation relevance</x:v>
      </x:c>
      <x:c r="F11" s="175" t="str">
        <x:v>0 Fail</x:v>
      </x:c>
      <x:c r="G11" s="175" t="str">
        <x:f>IF(B7=0,"",COUNTIF('Review Queue'!$R$5:$R$24,"Fail"))</x:f>
      </x:c>
      <x:c r="H11" s="176" t="str">
        <x:f>IF(G11="","Pending",IF(G11=0,"Pass","Review"))</x:f>
        <x:v>Pending</x:v>
      </x:c>
    </x:row>
    <x:row r="12">
      <x:c r="A12" s="71" t="str">
        <x:v>Judge–human agreements</x:v>
      </x:c>
      <x:c r="B12" s="173" t="n">
        <x:f>COUNTIF('Review Queue'!$U$5:$U$24,"Agree")</x:f>
        <x:v>0</x:v>
      </x:c>
      <x:c r="C12" s="64"/>
      <x:c r="D12" s="64"/>
      <x:c r="E12" s="64"/>
      <x:c r="F12" s="64"/>
      <x:c r="G12" s="64"/>
      <x:c r="H12" s="64"/>
    </x:row>
    <x:row r="13">
      <x:c r="A13" s="71" t="str">
        <x:v>Judge–human agreement rate</x:v>
      </x:c>
      <x:c r="B13" s="173" t="str">
        <x:f>IF(B7=0,"",B12/B7)</x:f>
      </x:c>
      <x:c r="C13" s="64"/>
      <x:c r="D13" s="64"/>
      <x:c r="E13" s="64"/>
      <x:c r="F13" s="64"/>
      <x:c r="G13" s="64"/>
      <x:c r="H13" s="64"/>
    </x:row>
    <x:row r="14">
      <x:c r="A14" s="75" t="str">
        <x:v>Workflow-safety scores below 4</x:v>
      </x:c>
      <x:c r="B14" s="177" t="str">
        <x:f>IF(B7=0,"",COUNTIFS('Review Queue'!$P$5:$P$24,"&lt;4",'Review Queue'!$P$5:$P$24,"&lt;&gt;"))</x:f>
      </x:c>
      <x:c r="C14" s="64"/>
      <x:c r="D14" s="64"/>
      <x:c r="E14" s="64"/>
      <x:c r="F14" s="64"/>
      <x:c r="G14" s="64"/>
      <x:c r="H14" s="64"/>
    </x:row>
    <x:row r="15">
      <x:c r="A15" s="64"/>
      <x:c r="B15" s="64"/>
      <x:c r="C15" s="64"/>
      <x:c r="D15" s="64"/>
      <x:c r="E15" s="64"/>
      <x:c r="F15" s="64"/>
      <x:c r="G15" s="64"/>
      <x:c r="H15" s="64"/>
    </x:row>
    <x:row r="16">
      <x:c r="A16" s="64"/>
      <x:c r="B16" s="64"/>
      <x:c r="C16" s="64"/>
      <x:c r="D16" s="64"/>
      <x:c r="E16" s="64"/>
      <x:c r="F16" s="64"/>
      <x:c r="G16" s="64"/>
      <x:c r="H16" s="64"/>
    </x:row>
    <x:row r="17" ht="42" customHeight="1">
      <x:c r="A17" s="178" t="str">
        <x:v>Interpretation: do not promote the LLM judge to a release gate until the acceptance checks pass after independent reviewer completion. Until then, use it as a monitored secondary metric alongside source/chunk evidence and human review.</x:v>
      </x:c>
      <x:c r="B17" s="64"/>
      <x:c r="C17" s="64"/>
      <x:c r="D17" s="64"/>
      <x:c r="E17" s="64"/>
      <x:c r="F17" s="64"/>
      <x:c r="G17" s="64"/>
      <x:c r="H17" s="64"/>
    </x:row>
  </x:sheetData>
  <x:mergeCells>
    <x:mergeCell ref="A1:H1"/>
    <x:mergeCell ref="A3:H3"/>
    <x:mergeCell ref="A5:D5"/>
    <x:mergeCell ref="E5:H5"/>
    <x:mergeCell ref="A17:H17"/>
  </x:mergeCells>
  <x:conditionalFormatting sqref="H7:H11">
    <x:cfRule type="containsText" dxfId="2" priority="1" operator="containsText" text="Pass"/>
    <x:cfRule type="containsText" dxfId="3" priority="2" operator="containsText" text="Review"/>
    <x:cfRule type="containsText" dxfId="4" priority="3" operator="containsText" text="Pending"/>
  </x:conditionalFormatting>
  <x:pageMargins left="0.7" right="0.7" top="0.75" bottom="0.75" header="0.3" footer="0.3"/>
</x:worksheet>
</file>